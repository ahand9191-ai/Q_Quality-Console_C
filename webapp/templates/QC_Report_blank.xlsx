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4240" windowHeight="17520" tabRatio="600" firstSheet="0" activeTab="2" autoFilterDateGrouping="1"/>
  </bookViews>
  <sheets>
    <sheet name="Pre-Fab" sheetId="1" state="visible" r:id="rId1"/>
    <sheet name="Assembly -QC Check" sheetId="2" state="visible" r:id="rId2"/>
    <sheet name="Finishing" sheetId="3" state="visible" r:id="rId3"/>
    <sheet name="Ref" sheetId="4" state="visible" r:id="rId4"/>
  </sheets>
  <definedNames>
    <definedName name="Bolted">Ref!$C$41:$C$46</definedName>
    <definedName name="Landing">Ref!$G$41:$G$46</definedName>
    <definedName name="Modular">Ref!$D$41:$D$43</definedName>
    <definedName name="Railing">Ref!$F$41:$F$44</definedName>
    <definedName name="Tower">Ref!$E$41:$E$46</definedName>
    <definedName name="Truss">Ref!$B$41:$B$46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color theme="1"/>
      <sz val="16"/>
      <scheme val="minor"/>
    </font>
    <font>
      <name val="Calibri"/>
      <family val="2"/>
      <color theme="1"/>
      <sz val="11"/>
      <scheme val="minor"/>
    </font>
    <font>
      <name val="Calibri"/>
      <family val="2"/>
      <i val="1"/>
      <color theme="1"/>
      <sz val="10"/>
      <scheme val="minor"/>
    </font>
    <font>
      <name val="Calibri"/>
      <family val="2"/>
      <color theme="1"/>
      <sz val="10"/>
      <scheme val="minor"/>
    </font>
    <font>
      <name val="Calibri"/>
      <family val="2"/>
      <i val="1"/>
      <color theme="1"/>
      <sz val="11"/>
      <scheme val="minor"/>
    </font>
    <font>
      <name val="Calibri"/>
      <family val="2"/>
      <color theme="4" tint="-0.249977111117893"/>
      <sz val="11"/>
      <scheme val="minor"/>
    </font>
    <font>
      <name val="Calibri"/>
      <family val="2"/>
      <color theme="1"/>
      <sz val="8"/>
      <scheme val="minor"/>
    </font>
    <font>
      <name val="Calibri"/>
      <family val="2"/>
      <color theme="1"/>
      <sz val="9"/>
      <scheme val="minor"/>
    </font>
    <font>
      <name val="Calibri"/>
      <family val="2"/>
      <color theme="4" tint="-0.249977111117893"/>
      <sz val="10"/>
      <scheme val="minor"/>
    </font>
    <font>
      <name val="Calibri"/>
      <family val="2"/>
      <color theme="4" tint="-0.249977111117893"/>
      <sz val="8"/>
      <scheme val="minor"/>
    </font>
    <font>
      <name val="Calibri"/>
      <family val="2"/>
      <color theme="4" tint="-0.249977111117893"/>
      <sz val="9"/>
      <scheme val="minor"/>
    </font>
  </fonts>
  <fills count="3">
    <fill>
      <patternFill/>
    </fill>
    <fill>
      <patternFill patternType="gray125"/>
    </fill>
    <fill>
      <patternFill patternType="solid">
        <fgColor theme="2"/>
        <bgColor indexed="64"/>
      </patternFill>
    </fill>
  </fills>
  <borders count="29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theme="0" tint="-0.249946592608417"/>
      </bottom>
      <diagonal/>
    </border>
    <border>
      <left style="thin">
        <color theme="1" tint="0.3499862666707358"/>
      </left>
      <right style="thin">
        <color theme="1" tint="0.3499862666707358"/>
      </right>
      <top style="thin">
        <color theme="1" tint="0.3499862666707358"/>
      </top>
      <bottom style="thin">
        <color theme="1" tint="0.3499862666707358"/>
      </bottom>
      <diagonal/>
    </border>
    <border>
      <left style="thin">
        <color theme="1" tint="0.3499862666707358"/>
      </left>
      <right style="thin">
        <color theme="1" tint="0.3499862666707358"/>
      </right>
      <top/>
      <bottom style="thin">
        <color theme="1" tint="0.3499862666707358"/>
      </bottom>
      <diagonal/>
    </border>
    <border>
      <left style="thin">
        <color theme="1" tint="0.3499862666707358"/>
      </left>
      <right style="thin">
        <color theme="1" tint="0.3499862666707358"/>
      </right>
      <top style="medium">
        <color theme="1" tint="0.3499862666707358"/>
      </top>
      <bottom style="thin">
        <color theme="1" tint="0.3499862666707358"/>
      </bottom>
      <diagonal/>
    </border>
    <border>
      <left style="thin">
        <color theme="1" tint="0.3499862666707358"/>
      </left>
      <right/>
      <top style="thin">
        <color theme="1" tint="0.3499862666707358"/>
      </top>
      <bottom style="thin">
        <color theme="1" tint="0.3499862666707358"/>
      </bottom>
      <diagonal/>
    </border>
    <border>
      <left style="thin">
        <color theme="1" tint="0.3499862666707358"/>
      </left>
      <right/>
      <top style="medium">
        <color theme="1" tint="0.3499862666707358"/>
      </top>
      <bottom style="thin">
        <color theme="1" tint="0.3499862666707358"/>
      </bottom>
      <diagonal/>
    </border>
    <border>
      <left/>
      <right/>
      <top style="thin">
        <color theme="1" tint="0.3499862666707358"/>
      </top>
      <bottom style="thin">
        <color theme="1" tint="0.3499862666707358"/>
      </bottom>
      <diagonal/>
    </border>
    <border>
      <left/>
      <right/>
      <top style="medium">
        <color theme="1" tint="0.3499862666707358"/>
      </top>
      <bottom style="thin">
        <color theme="1" tint="0.3499862666707358"/>
      </bottom>
      <diagonal/>
    </border>
    <border>
      <left/>
      <right/>
      <top/>
      <bottom style="thin">
        <color theme="1" tint="0.3499862666707358"/>
      </bottom>
      <diagonal/>
    </border>
    <border>
      <left style="thin">
        <color theme="1" tint="0.3499862666707358"/>
      </left>
      <right/>
      <top style="thin">
        <color theme="1" tint="0.3499862666707358"/>
      </top>
      <bottom/>
      <diagonal/>
    </border>
    <border>
      <left/>
      <right style="thin">
        <color theme="1" tint="0.3499862666707358"/>
      </right>
      <top style="thin">
        <color theme="1" tint="0.3499862666707358"/>
      </top>
      <bottom style="thin">
        <color theme="1" tint="0.3499862666707358"/>
      </bottom>
      <diagonal/>
    </border>
    <border>
      <left/>
      <right style="thin">
        <color theme="1" tint="0.3499862666707358"/>
      </right>
      <top/>
      <bottom style="thin">
        <color theme="1" tint="0.3499862666707358"/>
      </bottom>
      <diagonal/>
    </border>
    <border>
      <left/>
      <right style="thin">
        <color theme="1" tint="0.3499862666707358"/>
      </right>
      <top style="thin">
        <color theme="1" tint="0.3499862666707358"/>
      </top>
      <bottom/>
      <diagonal/>
    </border>
    <border>
      <left/>
      <right style="thin">
        <color theme="1" tint="0.3499862666707358"/>
      </right>
      <top/>
      <bottom/>
      <diagonal/>
    </border>
    <border>
      <left style="thin">
        <color theme="1" tint="0.3499862666707358"/>
      </left>
      <right/>
      <top/>
      <bottom style="thin">
        <color theme="1" tint="0.3499862666707358"/>
      </bottom>
      <diagonal/>
    </border>
    <border>
      <left/>
      <right style="thin">
        <color theme="1" tint="0.3499862666707358"/>
      </right>
      <top style="medium">
        <color theme="1" tint="0.3499862666707358"/>
      </top>
      <bottom style="thin">
        <color theme="1" tint="0.3499862666707358"/>
      </bottom>
      <diagonal/>
    </border>
    <border>
      <left/>
      <right/>
      <top style="thin">
        <color theme="1" tint="0.3499862666707358"/>
      </top>
      <bottom/>
      <diagonal/>
    </border>
    <border>
      <left/>
      <right/>
      <top style="medium">
        <color theme="1" tint="0.3499862666707358"/>
      </top>
      <bottom/>
      <diagonal/>
    </border>
    <border>
      <left style="thin">
        <color theme="1" tint="0.3499862666707358"/>
      </left>
      <right/>
      <top style="medium">
        <color theme="1" tint="0.3499862666707358"/>
      </top>
      <bottom/>
      <diagonal/>
    </border>
    <border>
      <left/>
      <right style="medium">
        <color theme="1" tint="0.3499862666707358"/>
      </right>
      <top style="medium">
        <color theme="1" tint="0.3499862666707358"/>
      </top>
      <bottom style="thin">
        <color theme="1" tint="0.3499862666707358"/>
      </bottom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/>
      <top style="thin">
        <color theme="0" tint="-0.249946592608417"/>
      </top>
      <bottom style="thin">
        <color theme="0" tint="-0.249946592608417"/>
      </bottom>
      <diagonal/>
    </border>
    <border>
      <left/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thin">
        <color theme="0" tint="-0.249946592608417"/>
      </right>
      <top/>
      <bottom style="thin">
        <color theme="0" tint="-0.249946592608417"/>
      </bottom>
      <diagonal/>
    </border>
    <border>
      <left style="thin">
        <color theme="0" tint="-0.249946592608417"/>
      </left>
      <right style="thin">
        <color theme="0" tint="-0.249946592608417"/>
      </right>
      <top style="medium">
        <color theme="1" tint="0.3499862666707358"/>
      </top>
      <bottom style="thin">
        <color theme="0" tint="-0.249946592608417"/>
      </bottom>
      <diagonal/>
    </border>
    <border>
      <left/>
      <right style="thin">
        <color theme="0" tint="-0.249946592608417"/>
      </right>
      <top style="medium">
        <color theme="1" tint="0.3499862666707358"/>
      </top>
      <bottom style="thin">
        <color theme="0" tint="-0.249946592608417"/>
      </bottom>
      <diagonal/>
    </border>
    <border>
      <left style="thin">
        <color theme="0" tint="-0.249946592608417"/>
      </left>
      <right/>
      <top style="medium">
        <color theme="1" tint="0.3499862666707358"/>
      </top>
      <bottom style="thin">
        <color theme="0" tint="-0.249946592608417"/>
      </bottom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 style="medium">
        <color theme="1" tint="0.3499862666707358"/>
      </bottom>
      <diagonal/>
    </border>
    <border>
      <left/>
      <right style="thin">
        <color theme="0" tint="-0.249946592608417"/>
      </right>
      <top style="thin">
        <color theme="0" tint="-0.249946592608417"/>
      </top>
      <bottom style="medium">
        <color theme="1" tint="0.3499862666707358"/>
      </bottom>
      <diagonal/>
    </border>
    <border>
      <left style="thin">
        <color theme="0" tint="-0.249946592608417"/>
      </left>
      <right/>
      <top style="thin">
        <color theme="0" tint="-0.249946592608417"/>
      </top>
      <bottom style="medium">
        <color theme="1" tint="0.3499862666707358"/>
      </bottom>
      <diagonal/>
    </border>
    <border>
      <left/>
      <right style="thin">
        <color theme="1" tint="0.3499862666707358"/>
      </right>
      <top style="medium">
        <color theme="1" tint="0.3499862666707358"/>
      </top>
      <bottom/>
      <diagonal/>
    </border>
    <border>
      <left/>
      <right style="medium">
        <color theme="1" tint="0.3499862666707358"/>
      </right>
      <top style="medium">
        <color theme="1" tint="0.3499862666707358"/>
      </top>
      <bottom/>
      <diagonal/>
    </border>
    <border>
      <left/>
      <right/>
      <top style="thin">
        <color theme="0" tint="-0.249946592608417"/>
      </top>
      <bottom style="thin">
        <color theme="0" tint="-0.249946592608417"/>
      </bottom>
      <diagonal/>
    </border>
    <border>
      <left/>
      <right/>
      <top style="thin">
        <color theme="0" tint="-0.249946592608417"/>
      </top>
      <bottom style="medium">
        <color theme="1" tint="0.3499862666707358"/>
      </bottom>
      <diagonal/>
    </border>
    <border>
      <left/>
      <right style="medium">
        <color theme="1" tint="0.3499862666707358"/>
      </right>
      <top style="thin">
        <color theme="1" tint="0.3499862666707358"/>
      </top>
      <bottom/>
      <diagonal/>
    </border>
    <border>
      <left/>
      <right style="thin">
        <color auto="1"/>
      </right>
      <top/>
      <bottom style="thin">
        <color theme="1" tint="0.3499862666707358"/>
      </bottom>
      <diagonal/>
    </border>
    <border>
      <left/>
      <right/>
      <top style="thin">
        <color theme="1" tint="0.3499862666707358"/>
      </top>
      <bottom style="thin">
        <color theme="0" tint="-0.249946592608417"/>
      </bottom>
      <diagonal/>
    </border>
    <border>
      <left/>
      <right style="thin">
        <color theme="1" tint="0.3499862666707358"/>
      </right>
      <top style="thin">
        <color theme="1" tint="0.3499862666707358"/>
      </top>
      <bottom style="thin">
        <color theme="0" tint="-0.249946592608417"/>
      </bottom>
      <diagonal/>
    </border>
    <border>
      <left style="thin">
        <color theme="1" tint="0.3499862666707358"/>
      </left>
      <right/>
      <top style="thin">
        <color theme="0" tint="-0.249946592608417"/>
      </top>
      <bottom style="thin">
        <color theme="0" tint="-0.249946592608417"/>
      </bottom>
      <diagonal/>
    </border>
    <border>
      <left/>
      <right style="thin">
        <color theme="1" tint="0.3499862666707358"/>
      </right>
      <top style="thin">
        <color theme="0" tint="-0.249946592608417"/>
      </top>
      <bottom style="thin">
        <color theme="0" tint="-0.249946592608417"/>
      </bottom>
      <diagonal/>
    </border>
    <border>
      <left/>
      <right/>
      <top style="thin">
        <color theme="0" tint="-0.249946592608417"/>
      </top>
      <bottom/>
      <diagonal/>
    </border>
    <border>
      <left style="thin">
        <color indexed="64"/>
      </left>
      <right/>
      <top style="thin">
        <color theme="1" tint="0.3499862666707358"/>
      </top>
      <bottom style="thin">
        <color theme="0" tint="-0.249946592608417"/>
      </bottom>
      <diagonal/>
    </border>
    <border>
      <left style="thin">
        <color theme="1" tint="0.3499862666707358"/>
      </left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1" tint="0.3499862666707358"/>
      </left>
      <right style="thin">
        <color theme="0" tint="-0.249946592608417"/>
      </right>
      <top style="thin">
        <color theme="0" tint="-0.249946592608417"/>
      </top>
      <bottom style="medium">
        <color theme="1" tint="0.3499862666707358"/>
      </bottom>
      <diagonal/>
    </border>
    <border>
      <left style="thin">
        <color theme="1" tint="0.3499862666707358"/>
      </left>
      <right style="thin">
        <color theme="0" tint="-0.249946592608417"/>
      </right>
      <top style="thin">
        <color theme="1" tint="0.3499862666707358"/>
      </top>
      <bottom style="thin">
        <color theme="0" tint="-0.249946592608417"/>
      </bottom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1" tint="0.3499862666707358"/>
      </top>
      <bottom style="thin">
        <color theme="0" tint="-0.249946592608417"/>
      </bottom>
      <diagonal/>
    </border>
    <border>
      <left style="thin">
        <color theme="0" tint="-0.249946592608417"/>
      </left>
      <right/>
      <top style="thin">
        <color theme="1" tint="0.3499862666707358"/>
      </top>
      <bottom style="thin">
        <color theme="0" tint="-0.249946592608417"/>
      </bottom>
      <diagonal/>
    </border>
    <border>
      <left style="thin">
        <color theme="1" tint="0.3499862666707358"/>
      </left>
      <right/>
      <top/>
      <bottom/>
      <diagonal/>
    </border>
    <border>
      <left style="thin">
        <color theme="1" tint="0.3499862666707358"/>
      </left>
      <right/>
      <top/>
      <bottom style="medium">
        <color theme="1" tint="0.3499862666707358"/>
      </bottom>
      <diagonal/>
    </border>
    <border>
      <left/>
      <right/>
      <top style="medium">
        <color theme="1" tint="0.3499862666707358"/>
      </top>
      <bottom style="thin">
        <color theme="0" tint="-0.249946592608417"/>
      </bottom>
      <diagonal/>
    </border>
    <border>
      <left style="thin">
        <color theme="1" tint="0.3499862666707358"/>
      </left>
      <right/>
      <top style="thin">
        <color theme="0" tint="-0.249946592608417"/>
      </top>
      <bottom style="medium">
        <color theme="1" tint="0.3499862666707358"/>
      </bottom>
      <diagonal/>
    </border>
    <border>
      <left style="thin">
        <color theme="1" tint="0.3499862666707358"/>
      </left>
      <right/>
      <top style="medium">
        <color theme="1" tint="0.3499862666707358"/>
      </top>
      <bottom style="thin">
        <color theme="0" tint="-0.249946592608417"/>
      </bottom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 style="medium">
        <color theme="0" tint="-0.499984740745262"/>
      </bottom>
      <diagonal/>
    </border>
    <border>
      <left style="thin">
        <color theme="0" tint="-0.249946592608417"/>
      </left>
      <right/>
      <top style="thin">
        <color theme="0" tint="-0.249946592608417"/>
      </top>
      <bottom style="medium">
        <color theme="0" tint="-0.499984740745262"/>
      </bottom>
      <diagonal/>
    </border>
    <border>
      <left/>
      <right style="medium">
        <color theme="0" tint="-0.499984740745262"/>
      </right>
      <top style="thin">
        <color theme="0" tint="-0.249946592608417"/>
      </top>
      <bottom style="thin">
        <color theme="0" tint="-0.249946592608417"/>
      </bottom>
      <diagonal/>
    </border>
    <border>
      <left/>
      <right style="medium">
        <color theme="0" tint="-0.499984740745262"/>
      </right>
      <top style="thin">
        <color theme="0" tint="-0.249946592608417"/>
      </top>
      <bottom style="medium">
        <color theme="1" tint="0.3499862666707358"/>
      </bottom>
      <diagonal/>
    </border>
    <border>
      <left/>
      <right style="medium">
        <color theme="0" tint="-0.499984740745262"/>
      </right>
      <top style="medium">
        <color theme="1" tint="0.3499862666707358"/>
      </top>
      <bottom style="thin">
        <color theme="0" tint="-0.249946592608417"/>
      </bottom>
      <diagonal/>
    </border>
    <border>
      <left style="thin">
        <color auto="1"/>
      </left>
      <right/>
      <top/>
      <bottom style="thin">
        <color theme="1" tint="0.3499862666707358"/>
      </bottom>
      <diagonal/>
    </border>
    <border>
      <left/>
      <right style="thin">
        <color theme="0" tint="-0.249946592608417"/>
      </right>
      <top style="thin">
        <color theme="1" tint="0.3499862666707358"/>
      </top>
      <bottom style="thin">
        <color theme="0" tint="-0.249946592608417"/>
      </bottom>
      <diagonal/>
    </border>
    <border>
      <left/>
      <right style="medium">
        <color theme="0" tint="-0.499984740745262"/>
      </right>
      <top style="thin">
        <color theme="1" tint="0.3499862666707358"/>
      </top>
      <bottom style="thin">
        <color theme="0" tint="-0.249946592608417"/>
      </bottom>
      <diagonal/>
    </border>
    <border>
      <left/>
      <right style="thin">
        <color theme="1" tint="0.3499862666707358"/>
      </right>
      <top style="thin">
        <color theme="0" tint="-0.249946592608417"/>
      </top>
      <bottom style="medium">
        <color theme="1" tint="0.3499862666707358"/>
      </bottom>
      <diagonal/>
    </border>
    <border>
      <left/>
      <right style="thin">
        <color theme="1" tint="0.3499862666707358"/>
      </right>
      <top style="medium">
        <color theme="1" tint="0.3499862666707358"/>
      </top>
      <bottom style="thin">
        <color theme="0" tint="-0.249946592608417"/>
      </bottom>
      <diagonal/>
    </border>
    <border>
      <left style="thin">
        <color theme="1" tint="0.3499862666707358"/>
      </left>
      <right style="thin">
        <color theme="0" tint="-0.249946592608417"/>
      </right>
      <top style="medium">
        <color theme="1" tint="0.3499862666707358"/>
      </top>
      <bottom style="thin">
        <color theme="0" tint="-0.249946592608417"/>
      </bottom>
      <diagonal/>
    </border>
    <border>
      <left style="medium">
        <color theme="0" tint="-0.499984740745262"/>
      </left>
      <right/>
      <top style="thin">
        <color theme="1" tint="0.3499862666707358"/>
      </top>
      <bottom style="thin">
        <color theme="0" tint="-0.249946592608417"/>
      </bottom>
      <diagonal/>
    </border>
    <border>
      <left style="medium">
        <color theme="0" tint="-0.499984740745262"/>
      </left>
      <right/>
      <top style="thin">
        <color theme="0" tint="-0.249946592608417"/>
      </top>
      <bottom style="thin">
        <color theme="0" tint="-0.249946592608417"/>
      </bottom>
      <diagonal/>
    </border>
    <border>
      <left style="medium">
        <color theme="0" tint="-0.499984740745262"/>
      </left>
      <right/>
      <top style="thin">
        <color theme="0" tint="-0.249946592608417"/>
      </top>
      <bottom style="medium">
        <color theme="1" tint="0.3499862666707358"/>
      </bottom>
      <diagonal/>
    </border>
    <border>
      <left style="medium">
        <color theme="0" tint="-0.499984740745262"/>
      </left>
      <right/>
      <top style="medium">
        <color theme="1" tint="0.3499862666707358"/>
      </top>
      <bottom style="thin">
        <color theme="0" tint="-0.249946592608417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1" tint="0.3499862666707358"/>
      </left>
      <right style="thin">
        <color theme="1" tint="0.3499862666707358"/>
      </right>
      <top/>
      <bottom style="medium">
        <color theme="1" tint="0.3499862666707358"/>
      </bottom>
      <diagonal/>
    </border>
    <border>
      <left/>
      <right/>
      <top/>
      <bottom style="medium">
        <color theme="1" tint="0.3499862666707358"/>
      </bottom>
      <diagonal/>
    </border>
    <border>
      <left/>
      <right style="medium">
        <color theme="1" tint="0.3499862666707358"/>
      </right>
      <top/>
      <bottom style="medium">
        <color theme="1" tint="0.3499862666707358"/>
      </bottom>
      <diagonal/>
    </border>
    <border>
      <left style="medium">
        <color theme="0" tint="-0.499984740745262"/>
      </left>
      <right/>
      <top/>
      <bottom style="thin">
        <color theme="1" tint="0.3499862666707358"/>
      </bottom>
      <diagonal/>
    </border>
    <border>
      <left style="thin">
        <color theme="0" tint="-0.249946592608417"/>
      </left>
      <right style="thin">
        <color theme="0" tint="-0.499984740745262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thin">
        <color theme="0" tint="-0.499984740745262"/>
      </right>
      <top/>
      <bottom style="thin">
        <color theme="0" tint="-0.249946592608417"/>
      </bottom>
      <diagonal/>
    </border>
    <border>
      <left/>
      <right/>
      <top style="thin">
        <color theme="0" tint="-0.249946592608417"/>
      </top>
      <bottom style="thin">
        <color theme="0" tint="-0.499984740745262"/>
      </bottom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 style="thin">
        <color theme="0" tint="-0.499984740745262"/>
      </bottom>
      <diagonal/>
    </border>
    <border>
      <left style="thin">
        <color theme="0" tint="-0.249946592608417"/>
      </left>
      <right style="thin">
        <color theme="0" tint="-0.499984740745262"/>
      </right>
      <top style="thin">
        <color theme="0" tint="-0.249946592608417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 tint="-0.499984740745262"/>
      </left>
      <right style="thin">
        <color theme="0" tint="-0.249946592608417"/>
      </right>
      <top/>
      <bottom style="thin">
        <color theme="0" tint="-0.249946592608417"/>
      </bottom>
      <diagonal/>
    </border>
    <border>
      <left style="thin">
        <color theme="0" tint="-0.499984740745262"/>
      </left>
      <right style="thin">
        <color theme="0" tint="-0.249946592608417"/>
      </right>
      <top style="thin">
        <color theme="0" tint="-0.249946592608417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249946592608417"/>
      </bottom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499984740745262"/>
      </top>
      <bottom style="thin">
        <color theme="0" tint="-0.249946592608417"/>
      </bottom>
      <diagonal/>
    </border>
    <border>
      <left style="thin">
        <color theme="0" tint="-0.249946592608417"/>
      </left>
      <right style="thin">
        <color theme="0" tint="-0.499984740745262"/>
      </right>
      <top style="thin">
        <color theme="0" tint="-0.499984740745262"/>
      </top>
      <bottom style="thin">
        <color theme="0" tint="-0.249946592608417"/>
      </bottom>
      <diagonal/>
    </border>
    <border>
      <left style="thin">
        <color theme="0" tint="-0.499984740745262"/>
      </left>
      <right style="thin">
        <color theme="0" tint="-0.249946592608417"/>
      </right>
      <top style="thin">
        <color theme="0" tint="-0.499984740745262"/>
      </top>
      <bottom style="thin">
        <color theme="0" tint="-0.249946592608417"/>
      </bottom>
      <diagonal/>
    </border>
    <border>
      <left/>
      <right/>
      <top style="thin">
        <color theme="0" tint="-0.249946592608417"/>
      </top>
      <bottom style="medium">
        <color theme="0" tint="-0.499984740745262"/>
      </bottom>
      <diagonal/>
    </border>
    <border>
      <left style="thin">
        <color theme="0" tint="-0.249946592608417"/>
      </left>
      <right style="thin">
        <color theme="0" tint="-0.499984740745262"/>
      </right>
      <top style="thin">
        <color theme="0" tint="-0.249946592608417"/>
      </top>
      <bottom style="medium">
        <color theme="0" tint="-0.499984740745262"/>
      </bottom>
      <diagonal/>
    </border>
    <border>
      <left style="thin">
        <color theme="0" tint="-0.499984740745262"/>
      </left>
      <right style="thin">
        <color theme="0" tint="-0.249946592608417"/>
      </right>
      <top style="thin">
        <color theme="0" tint="-0.249946592608417"/>
      </top>
      <bottom style="medium">
        <color theme="0" tint="-0.499984740745262"/>
      </bottom>
      <diagonal/>
    </border>
    <border>
      <left/>
      <right/>
      <top style="medium">
        <color theme="0" tint="-0.499984740745262"/>
      </top>
      <bottom style="thin">
        <color theme="0" tint="-0.249946592608417"/>
      </bottom>
      <diagonal/>
    </border>
    <border>
      <left style="thin">
        <color theme="0" tint="-0.249946592608417"/>
      </left>
      <right style="thin">
        <color theme="0" tint="-0.249946592608417"/>
      </right>
      <top style="medium">
        <color theme="0" tint="-0.499984740745262"/>
      </top>
      <bottom style="thin">
        <color theme="0" tint="-0.249946592608417"/>
      </bottom>
      <diagonal/>
    </border>
    <border>
      <left style="thin">
        <color theme="0" tint="-0.249946592608417"/>
      </left>
      <right style="thin">
        <color theme="0" tint="-0.499984740745262"/>
      </right>
      <top style="medium">
        <color theme="0" tint="-0.499984740745262"/>
      </top>
      <bottom style="thin">
        <color theme="0" tint="-0.249946592608417"/>
      </bottom>
      <diagonal/>
    </border>
    <border>
      <left style="thin">
        <color theme="0" tint="-0.499984740745262"/>
      </left>
      <right style="thin">
        <color theme="0" tint="-0.249946592608417"/>
      </right>
      <top style="medium">
        <color theme="0" tint="-0.499984740745262"/>
      </top>
      <bottom style="thin">
        <color theme="0" tint="-0.249946592608417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theme="0" tint="-0.499984740745262"/>
      </left>
      <right/>
      <top style="thin">
        <color theme="0" tint="-0.249946592608417"/>
      </top>
      <bottom style="thin">
        <color theme="0" tint="-0.249946592608417"/>
      </bottom>
      <diagonal/>
    </border>
    <border>
      <left/>
      <right style="thin">
        <color theme="0" tint="-0.499984740745262"/>
      </right>
      <top style="thin">
        <color theme="0" tint="-0.249946592608417"/>
      </top>
      <bottom style="thin">
        <color theme="0" tint="-0.249946592608417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249946592608417"/>
      </top>
      <bottom style="medium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249946592608417"/>
      </top>
      <bottom style="medium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249946592608417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249946592608417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medium">
        <color theme="0" tint="-0.499984740745262"/>
      </top>
      <bottom style="thin">
        <color theme="0" tint="-0.249946592608417"/>
      </bottom>
      <diagonal/>
    </border>
    <border>
      <left/>
      <right style="thin">
        <color theme="0" tint="-0.499984740745262"/>
      </right>
      <top style="medium">
        <color theme="0" tint="-0.499984740745262"/>
      </top>
      <bottom style="thin">
        <color theme="0" tint="-0.249946592608417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249946592608417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249946592608417"/>
      </bottom>
      <diagonal/>
    </border>
    <border>
      <left style="thin">
        <color theme="0" tint="-0.249946592608417"/>
      </left>
      <right/>
      <top style="thin">
        <color theme="0" tint="-0.499984740745262"/>
      </top>
      <bottom style="thin">
        <color theme="0" tint="-0.249946592608417"/>
      </bottom>
      <diagonal/>
    </border>
    <border>
      <left style="thin">
        <color theme="0" tint="-0.249946592608417"/>
      </left>
      <right/>
      <top style="medium">
        <color theme="0" tint="-0.499984740745262"/>
      </top>
      <bottom style="thin">
        <color theme="0" tint="-0.249946592608417"/>
      </bottom>
      <diagonal/>
    </border>
    <border>
      <left/>
      <right style="thin">
        <color theme="1" tint="0.3499862666707358"/>
      </right>
      <top style="thin">
        <color theme="1" tint="0.3499862666707358"/>
      </top>
      <bottom style="medium">
        <color theme="1" tint="0.3499862666707358"/>
      </bottom>
      <diagonal/>
    </border>
    <border>
      <left style="thin">
        <color theme="1" tint="0.3499862666707358"/>
      </left>
      <right style="thin">
        <color theme="1" tint="0.3499862666707358"/>
      </right>
      <top/>
      <bottom/>
      <diagonal/>
    </border>
    <border>
      <left style="medium">
        <color theme="0" tint="-0.499984740745262"/>
      </left>
      <right/>
      <top/>
      <bottom/>
      <diagonal/>
    </border>
    <border>
      <left style="thin">
        <color theme="0" tint="-0.499984740745262"/>
      </left>
      <right/>
      <top/>
      <bottom/>
      <diagonal/>
    </border>
    <border>
      <left/>
      <right style="thin">
        <color theme="0" tint="-0.499984740745262"/>
      </right>
      <top/>
      <bottom/>
      <diagonal/>
    </border>
    <border>
      <left/>
      <right style="thin">
        <color theme="0" tint="-0.499984740745262"/>
      </right>
      <top/>
      <bottom style="medium">
        <color theme="0" tint="-0.499984740745262"/>
      </bottom>
      <diagonal/>
    </border>
    <border>
      <left/>
      <right style="thin">
        <color theme="0" tint="-0.499984740745262"/>
      </right>
      <top style="medium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249946592608417"/>
      </right>
      <top style="thin">
        <color theme="0" tint="-0.249946592608417"/>
      </top>
      <bottom/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/>
      <diagonal/>
    </border>
    <border>
      <left style="thin">
        <color theme="0" tint="-0.249946592608417"/>
      </left>
      <right/>
      <top style="thin">
        <color theme="0" tint="-0.249946592608417"/>
      </top>
      <bottom/>
      <diagonal/>
    </border>
    <border>
      <left style="thin">
        <color theme="0" tint="-0.249946592608417"/>
      </left>
      <right style="thin">
        <color theme="0" tint="-0.499984740745262"/>
      </right>
      <top style="thin">
        <color theme="0" tint="-0.249946592608417"/>
      </top>
      <bottom/>
      <diagonal/>
    </border>
    <border>
      <left style="thin">
        <color theme="0" tint="-0.499984740745262"/>
      </left>
      <right/>
      <top style="thin">
        <color theme="0" tint="-0.249946592608417"/>
      </top>
      <bottom/>
      <diagonal/>
    </border>
    <border>
      <left/>
      <right style="thin">
        <color theme="0" tint="-0.499984740745262"/>
      </right>
      <top style="thin">
        <color theme="0" tint="-0.249946592608417"/>
      </top>
      <bottom/>
      <diagonal/>
    </border>
    <border>
      <left/>
      <right style="medium">
        <color theme="0" tint="-0.499984740745262"/>
      </right>
      <top/>
      <bottom/>
      <diagonal/>
    </border>
    <border>
      <left/>
      <right style="medium">
        <color theme="0" tint="-0.499984740745262"/>
      </right>
      <top/>
      <bottom style="thin">
        <color theme="1" tint="0.3499862666707358"/>
      </bottom>
      <diagonal/>
    </border>
    <border>
      <left/>
      <right style="medium">
        <color theme="1" tint="0.3499862666707358"/>
      </right>
      <top/>
      <bottom/>
      <diagonal/>
    </border>
    <border>
      <left style="thin">
        <color theme="1" tint="0.3499862666707358"/>
      </left>
      <right style="thin">
        <color theme="0" tint="-0.249946592608417"/>
      </right>
      <top style="thin">
        <color theme="1" tint="0.3499862666707358"/>
      </top>
      <bottom style="thin">
        <color theme="0" tint="-0.3499862666707358"/>
      </bottom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1" tint="0.3499862666707358"/>
      </top>
      <bottom style="thin">
        <color theme="0" tint="-0.3499862666707358"/>
      </bottom>
      <diagonal/>
    </border>
    <border>
      <left style="thin">
        <color theme="0" tint="-0.249946592608417"/>
      </left>
      <right style="medium">
        <color theme="1" tint="0.3499862666707358"/>
      </right>
      <top style="thin">
        <color theme="1" tint="0.3499862666707358"/>
      </top>
      <bottom style="thin">
        <color theme="0" tint="-0.3499862666707358"/>
      </bottom>
      <diagonal/>
    </border>
    <border>
      <left style="thin">
        <color theme="1" tint="0.3499862666707358"/>
      </left>
      <right/>
      <top style="thin">
        <color theme="0" tint="-0.3499862666707358"/>
      </top>
      <bottom style="thin">
        <color theme="0" tint="-0.3499862666707358"/>
      </bottom>
      <diagonal/>
    </border>
    <border>
      <left/>
      <right style="thin">
        <color theme="0" tint="-0.249946592608417"/>
      </right>
      <top style="thin">
        <color theme="0" tint="-0.3499862666707358"/>
      </top>
      <bottom style="thin">
        <color theme="0" tint="-0.3499862666707358"/>
      </bottom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3499862666707358"/>
      </top>
      <bottom style="thin">
        <color theme="0" tint="-0.3499862666707358"/>
      </bottom>
      <diagonal/>
    </border>
    <border>
      <left style="thin">
        <color theme="0" tint="-0.249946592608417"/>
      </left>
      <right style="medium">
        <color theme="1" tint="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 style="thin">
        <color theme="1" tint="0.3499862666707358"/>
      </left>
      <right/>
      <top style="thin">
        <color theme="0" tint="-0.3499862666707358"/>
      </top>
      <bottom style="medium">
        <color theme="1" tint="0.3499862666707358"/>
      </bottom>
      <diagonal/>
    </border>
    <border>
      <left/>
      <right style="thin">
        <color theme="0" tint="-0.249946592608417"/>
      </right>
      <top style="thin">
        <color theme="0" tint="-0.3499862666707358"/>
      </top>
      <bottom style="medium">
        <color theme="1" tint="0.3499862666707358"/>
      </bottom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3499862666707358"/>
      </top>
      <bottom style="medium">
        <color theme="1" tint="0.3499862666707358"/>
      </bottom>
      <diagonal/>
    </border>
    <border>
      <left style="thin">
        <color theme="0" tint="-0.249946592608417"/>
      </left>
      <right style="medium">
        <color theme="1" tint="0.3499862666707358"/>
      </right>
      <top style="thin">
        <color theme="0" tint="-0.3499862666707358"/>
      </top>
      <bottom style="medium">
        <color theme="1" tint="0.3499862666707358"/>
      </bottom>
      <diagonal/>
    </border>
    <border>
      <left/>
      <right/>
      <top/>
      <bottom style="medium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3499862666707358"/>
      </top>
      <bottom style="medium">
        <color theme="0" tint="-0.499984740745262"/>
      </bottom>
      <diagonal/>
    </border>
    <border>
      <left/>
      <right/>
      <top style="thin">
        <color theme="0" tint="-0.3499862666707358"/>
      </top>
      <bottom style="medium">
        <color theme="0" tint="-0.499984740745262"/>
      </bottom>
      <diagonal/>
    </border>
    <border>
      <left style="thin">
        <color theme="0" tint="-0.499984740745262"/>
      </left>
      <right style="thin">
        <color theme="0" tint="-0.249946592608417"/>
      </right>
      <top style="thin">
        <color theme="0" tint="-0.3499862666707358"/>
      </top>
      <bottom style="medium">
        <color theme="0" tint="-0.499984740745262"/>
      </bottom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3499862666707358"/>
      </top>
      <bottom style="medium">
        <color theme="0" tint="-0.499984740745262"/>
      </bottom>
      <diagonal/>
    </border>
    <border>
      <left style="thin">
        <color theme="0" tint="-0.249946592608417"/>
      </left>
      <right/>
      <top style="thin">
        <color theme="0" tint="-0.3499862666707358"/>
      </top>
      <bottom style="medium">
        <color theme="0" tint="-0.499984740745262"/>
      </bottom>
      <diagonal/>
    </border>
    <border>
      <left style="thin">
        <color theme="0" tint="-0.249946592608417"/>
      </left>
      <right style="thin">
        <color theme="0" tint="-0.499984740745262"/>
      </right>
      <top style="thin">
        <color theme="0" tint="-0.3499862666707358"/>
      </top>
      <bottom style="medium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3499862666707358"/>
      </top>
      <bottom style="medium">
        <color theme="0" tint="-0.499984740745262"/>
      </bottom>
      <diagonal/>
    </border>
    <border>
      <left style="thin">
        <color theme="0" tint="-0.3499862666707358"/>
      </left>
      <right/>
      <top style="thin">
        <color theme="0" tint="-0.3499862666707358"/>
      </top>
      <bottom style="medium">
        <color theme="0" tint="-0.499984740745262"/>
      </bottom>
      <diagonal/>
    </border>
    <border>
      <left style="medium">
        <color theme="1" tint="0.3499862666707358"/>
      </left>
      <right style="thin">
        <color theme="1" tint="0.3499862666707358"/>
      </right>
      <top/>
      <bottom/>
      <diagonal/>
    </border>
    <border>
      <left style="thin">
        <color theme="1" tint="0.3499862666707358"/>
      </left>
      <right style="medium">
        <color theme="1" tint="0.3499862666707358"/>
      </right>
      <top/>
      <bottom/>
      <diagonal/>
    </border>
    <border>
      <left style="medium">
        <color theme="1" tint="0.3499862666707358"/>
      </left>
      <right style="thin">
        <color theme="1" tint="0.3499862666707358"/>
      </right>
      <top/>
      <bottom style="thin">
        <color theme="1" tint="0.3499862666707358"/>
      </bottom>
      <diagonal/>
    </border>
    <border>
      <left style="thin">
        <color theme="1" tint="0.3499862666707358"/>
      </left>
      <right style="medium">
        <color theme="1" tint="0.3499862666707358"/>
      </right>
      <top/>
      <bottom style="thin">
        <color theme="1" tint="0.3499862666707358"/>
      </bottom>
      <diagonal/>
    </border>
    <border>
      <left style="thin">
        <color theme="1" tint="0.3499862666707358"/>
      </left>
      <right style="thin">
        <color theme="0" tint="-0.3499862666707358"/>
      </right>
      <top style="thin">
        <color theme="1" tint="0.3499862666707358"/>
      </top>
      <bottom style="thin">
        <color theme="0" tint="-0.3499862666707358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1" tint="0.3499862666707358"/>
      </top>
      <bottom style="thin">
        <color theme="0" tint="-0.3499862666707358"/>
      </bottom>
      <diagonal/>
    </border>
    <border>
      <left style="thin">
        <color theme="0" tint="-0.3499862666707358"/>
      </left>
      <right style="thin">
        <color theme="1" tint="0.3499862666707358"/>
      </right>
      <top style="thin">
        <color theme="1" tint="0.3499862666707358"/>
      </top>
      <bottom style="thin">
        <color theme="0" tint="-0.3499862666707358"/>
      </bottom>
      <diagonal/>
    </border>
    <border>
      <left style="thin">
        <color theme="1" tint="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 style="thin">
        <color theme="0" tint="-0.3499862666707358"/>
      </left>
      <right style="thin">
        <color theme="1" tint="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 style="thin">
        <color theme="1" tint="0.3499862666707358"/>
      </left>
      <right style="thin">
        <color theme="0" tint="-0.3499862666707358"/>
      </right>
      <top style="thin">
        <color theme="0" tint="-0.3499862666707358"/>
      </top>
      <bottom style="thin">
        <color theme="1" tint="0.3499862666707358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1" tint="0.3499862666707358"/>
      </bottom>
      <diagonal/>
    </border>
    <border>
      <left style="thin">
        <color theme="0" tint="-0.3499862666707358"/>
      </left>
      <right style="thin">
        <color theme="1" tint="0.3499862666707358"/>
      </right>
      <top style="thin">
        <color theme="0" tint="-0.3499862666707358"/>
      </top>
      <bottom style="thin">
        <color theme="1" tint="0.3499862666707358"/>
      </bottom>
      <diagonal/>
    </border>
    <border>
      <left style="thin">
        <color theme="0" tint="-0.3499862666707358"/>
      </left>
      <right/>
      <top style="thin">
        <color theme="0" tint="-0.3499862666707358"/>
      </top>
      <bottom/>
      <diagonal/>
    </border>
    <border>
      <left/>
      <right/>
      <top style="thin">
        <color theme="0" tint="-0.3499862666707358"/>
      </top>
      <bottom/>
      <diagonal/>
    </border>
    <border>
      <left/>
      <right style="thin">
        <color theme="0" tint="-0.3499862666707358"/>
      </right>
      <top style="thin">
        <color theme="0" tint="-0.3499862666707358"/>
      </top>
      <bottom/>
      <diagonal/>
    </border>
    <border>
      <left style="thin">
        <color theme="0" tint="-0.3499862666707358"/>
      </left>
      <right/>
      <top/>
      <bottom/>
      <diagonal/>
    </border>
    <border>
      <left/>
      <right style="thin">
        <color theme="0" tint="-0.3499862666707358"/>
      </right>
      <top/>
      <bottom/>
      <diagonal/>
    </border>
    <border>
      <left style="thin">
        <color theme="0" tint="-0.3499862666707358"/>
      </left>
      <right/>
      <top/>
      <bottom style="thin">
        <color theme="0" tint="-0.3499862666707358"/>
      </bottom>
      <diagonal/>
    </border>
    <border>
      <left/>
      <right/>
      <top/>
      <bottom style="thin">
        <color theme="0" tint="-0.3499862666707358"/>
      </bottom>
      <diagonal/>
    </border>
    <border>
      <left/>
      <right style="thin">
        <color theme="0" tint="-0.3499862666707358"/>
      </right>
      <top/>
      <bottom style="thin">
        <color theme="0" tint="-0.3499862666707358"/>
      </bottom>
      <diagonal/>
    </border>
    <border>
      <left style="thin">
        <color theme="0" tint="-0.3499862666707358"/>
      </left>
      <right/>
      <top style="thin">
        <color theme="1" tint="0.3499862666707358"/>
      </top>
      <bottom style="thin">
        <color theme="0" tint="-0.3499862666707358"/>
      </bottom>
      <diagonal/>
    </border>
    <border>
      <left style="thin">
        <color theme="0" tint="-0.3499862666707358"/>
      </left>
      <right/>
      <top style="thin">
        <color theme="0" tint="-0.3499862666707358"/>
      </top>
      <bottom style="thin">
        <color theme="0" tint="-0.3499862666707358"/>
      </bottom>
      <diagonal/>
    </border>
    <border>
      <left style="thin">
        <color theme="0" tint="-0.3499862666707358"/>
      </left>
      <right/>
      <top style="thin">
        <color theme="0" tint="-0.3499862666707358"/>
      </top>
      <bottom style="thin">
        <color theme="1" tint="0.3499862666707358"/>
      </bottom>
      <diagonal/>
    </border>
    <border>
      <left/>
      <right style="thin">
        <color theme="0" tint="-0.3499862666707358"/>
      </right>
      <top style="thin">
        <color theme="1" tint="0.3499862666707358"/>
      </top>
      <bottom style="thin">
        <color theme="0" tint="-0.3499862666707358"/>
      </bottom>
      <diagonal/>
    </border>
    <border>
      <left/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 style="thin">
        <color theme="0" tint="-0.3499862666707358"/>
      </right>
      <top style="thin">
        <color theme="0" tint="-0.3499862666707358"/>
      </top>
      <bottom style="thin">
        <color theme="1" tint="0.3499862666707358"/>
      </bottom>
      <diagonal/>
    </border>
    <border>
      <left style="thin">
        <color theme="0" tint="-0.3499862666707358"/>
      </left>
      <right style="medium">
        <color theme="1" tint="0.3499862666707358"/>
      </right>
      <top style="thin">
        <color theme="1" tint="0.3499862666707358"/>
      </top>
      <bottom style="thin">
        <color theme="0" tint="-0.3499862666707358"/>
      </bottom>
      <diagonal/>
    </border>
    <border>
      <left style="thin">
        <color theme="0" tint="-0.3499862666707358"/>
      </left>
      <right style="medium">
        <color theme="1" tint="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 style="thin">
        <color theme="0" tint="-0.3499862666707358"/>
      </left>
      <right style="medium">
        <color theme="1" tint="0.3499862666707358"/>
      </right>
      <top style="thin">
        <color theme="0" tint="-0.3499862666707358"/>
      </top>
      <bottom style="thin">
        <color theme="1" tint="0.3499862666707358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249946592608417"/>
      </top>
      <bottom style="thin">
        <color theme="0" tint="-0.499984740745262"/>
      </bottom>
      <diagonal/>
    </border>
    <border>
      <left style="medium">
        <color theme="1" tint="0.3499862666707358"/>
      </left>
      <right style="thin">
        <color theme="0" tint="-0.3499862666707358"/>
      </right>
      <top style="thin">
        <color theme="1" tint="0.3499862666707358"/>
      </top>
      <bottom style="thin">
        <color theme="0" tint="-0.3499862666707358"/>
      </bottom>
      <diagonal/>
    </border>
    <border>
      <left style="medium">
        <color theme="1" tint="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 style="thin">
        <color indexed="64"/>
      </left>
      <right/>
      <top style="thin">
        <color theme="0" tint="-0.3499862666707358"/>
      </top>
      <bottom style="thin">
        <color theme="0" tint="-0.3499862666707358"/>
      </bottom>
      <diagonal/>
    </border>
    <border>
      <left style="medium">
        <color theme="1" tint="0.3499862666707358"/>
      </left>
      <right style="thin">
        <color theme="0" tint="-0.3499862666707358"/>
      </right>
      <top style="thin">
        <color theme="0" tint="-0.3499862666707358"/>
      </top>
      <bottom style="thin">
        <color theme="1" tint="0.3499862666707358"/>
      </bottom>
      <diagonal/>
    </border>
    <border>
      <left style="thin">
        <color theme="0" tint="-0.499984740745262"/>
      </left>
      <right/>
      <top/>
      <bottom style="thin">
        <color theme="0" tint="-0.249946592608417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249946592608417"/>
      </bottom>
      <diagonal/>
    </border>
    <border>
      <left style="thin">
        <color theme="0" tint="-0.499984740745262"/>
      </left>
      <right/>
      <top/>
      <bottom style="medium">
        <color theme="0" tint="-0.499984740745262"/>
      </bottom>
      <diagonal/>
    </border>
    <border>
      <left style="thin">
        <color theme="0" tint="-0.499984740745262"/>
      </left>
      <right style="thin">
        <color theme="0" tint="-0.249946592608417"/>
      </right>
      <top/>
      <bottom style="medium">
        <color theme="0" tint="-0.499984740745262"/>
      </bottom>
      <diagonal/>
    </border>
    <border>
      <left style="thin">
        <color theme="0" tint="-0.249946592608417"/>
      </left>
      <right style="thin">
        <color theme="0" tint="-0.249946592608417"/>
      </right>
      <top/>
      <bottom style="medium">
        <color theme="0" tint="-0.499984740745262"/>
      </bottom>
      <diagonal/>
    </border>
    <border>
      <left style="thin">
        <color theme="0" tint="-0.249946592608417"/>
      </left>
      <right/>
      <top/>
      <bottom style="medium">
        <color theme="0" tint="-0.499984740745262"/>
      </bottom>
      <diagonal/>
    </border>
    <border>
      <left style="thin">
        <color theme="0" tint="-0.249946592608417"/>
      </left>
      <right style="thin">
        <color theme="0" tint="-0.499984740745262"/>
      </right>
      <top/>
      <bottom style="medium">
        <color theme="0" tint="-0.499984740745262"/>
      </bottom>
      <diagonal/>
    </border>
    <border>
      <left style="thin">
        <color theme="1" tint="0.499984740745262"/>
      </left>
      <right style="thin">
        <color theme="0" tint="-0.249946592608417"/>
      </right>
      <top/>
      <bottom style="thin">
        <color theme="1" tint="0.499984740745262"/>
      </bottom>
      <diagonal/>
    </border>
    <border>
      <left style="thin">
        <color theme="0" tint="-0.249946592608417"/>
      </left>
      <right style="thin">
        <color theme="0" tint="-0.249946592608417"/>
      </right>
      <top/>
      <bottom style="thin">
        <color theme="1" tint="0.499984740745262"/>
      </bottom>
      <diagonal/>
    </border>
    <border>
      <left style="thin">
        <color theme="0" tint="-0.249946592608417"/>
      </left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theme="0" tint="-0.249946592608417"/>
      </left>
      <right/>
      <top/>
      <bottom style="thin">
        <color theme="1" tint="0.499984740745262"/>
      </bottom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1" tint="0.499984740745262"/>
      </top>
      <bottom style="thin">
        <color theme="0" tint="-0.249946592608417"/>
      </bottom>
      <diagonal/>
    </border>
    <border>
      <left style="thin">
        <color theme="1" tint="0.499984740745262"/>
      </left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thin">
        <color theme="1" tint="0.499984740745262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1" tint="0.499984740745262"/>
      </left>
      <right/>
      <top style="thin">
        <color theme="0" tint="-0.249946592608417"/>
      </top>
      <bottom style="thin">
        <color theme="1" tint="0.499984740745262"/>
      </bottom>
      <diagonal/>
    </border>
    <border>
      <left/>
      <right/>
      <top style="thin">
        <color theme="0" tint="-0.249946592608417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theme="0" tint="-0.249946592608417"/>
      </top>
      <bottom style="thin">
        <color theme="0" tint="-0.249946592608417"/>
      </bottom>
      <diagonal/>
    </border>
    <border>
      <left/>
      <right style="thin">
        <color theme="1" tint="0.499984740745262"/>
      </right>
      <top style="thin">
        <color theme="0" tint="-0.249946592608417"/>
      </top>
      <bottom style="thin">
        <color theme="0" tint="-0.249946592608417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0" tint="-0.249946592608417"/>
      </right>
      <top style="thin">
        <color theme="1" tint="0.499984740745262"/>
      </top>
      <bottom/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1" tint="0.499984740745262"/>
      </top>
      <bottom/>
      <diagonal/>
    </border>
    <border>
      <left style="thin">
        <color theme="1" tint="0.499984740745262"/>
      </left>
      <right/>
      <top/>
      <bottom style="thin">
        <color theme="1" tint="0.499984740745262"/>
      </bottom>
      <diagonal/>
    </border>
    <border>
      <left/>
      <right/>
      <top/>
      <bottom style="thin">
        <color theme="1" tint="0.499984740745262"/>
      </bottom>
      <diagonal/>
    </border>
    <border>
      <left/>
      <right/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0" tint="-0.249946592608417"/>
      </left>
      <right/>
      <top style="thin">
        <color theme="1" tint="0.499984740745262"/>
      </top>
      <bottom/>
      <diagonal/>
    </border>
    <border>
      <left style="thin">
        <color theme="0" tint="-0.249946592608417"/>
      </left>
      <right style="thin">
        <color theme="1" tint="0.499984740745262"/>
      </right>
      <top style="thin">
        <color theme="1" tint="0.499984740745262"/>
      </top>
      <bottom/>
      <diagonal/>
    </border>
    <border>
      <left/>
      <right style="thin">
        <color theme="1" tint="0.499984740745262"/>
      </right>
      <top style="thin">
        <color theme="0" tint="-0.249946592608417"/>
      </top>
      <bottom style="thin">
        <color theme="1" tint="0.499984740745262"/>
      </bottom>
      <diagonal/>
    </border>
    <border>
      <left/>
      <right style="thin">
        <color indexed="64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/>
      <top style="thin">
        <color theme="0" tint="-0.3499862666707358"/>
      </top>
      <bottom style="medium">
        <color theme="1" tint="0.3499862666707358"/>
      </bottom>
      <diagonal/>
    </border>
    <border>
      <left/>
      <right/>
      <top style="thin">
        <color theme="0" tint="-0.3499862666707358"/>
      </top>
      <bottom style="medium">
        <color theme="1" tint="0.3499862666707358"/>
      </bottom>
      <diagonal/>
    </border>
    <border>
      <left style="thin">
        <color indexed="64"/>
      </left>
      <right style="thin">
        <color theme="1" tint="0.3499862666707358"/>
      </right>
      <top style="thin">
        <color theme="1" tint="0.3499862666707358"/>
      </top>
      <bottom style="thin">
        <color theme="0" tint="-0.249946592608417"/>
      </bottom>
      <diagonal/>
    </border>
    <border>
      <left style="thin">
        <color theme="1" tint="0.3499862666707358"/>
      </left>
      <right style="thin">
        <color theme="1" tint="0.3499862666707358"/>
      </right>
      <top style="thin">
        <color theme="0" tint="-0.249946592608417"/>
      </top>
      <bottom style="thin">
        <color theme="0" tint="-0.249946592608417"/>
      </bottom>
      <diagonal/>
    </border>
    <border>
      <left/>
      <right style="thin">
        <color theme="1" tint="0.3499862666707358"/>
      </right>
      <top style="thin">
        <color theme="0" tint="-0.249946592608417"/>
      </top>
      <bottom/>
      <diagonal/>
    </border>
    <border>
      <left style="thin">
        <color theme="1" tint="0.3499862666707358"/>
      </left>
      <right style="thin">
        <color theme="1" tint="0.3499862666707358"/>
      </right>
      <top style="thin">
        <color theme="0" tint="-0.249946592608417"/>
      </top>
      <bottom style="medium">
        <color theme="1" tint="0.3499862666707358"/>
      </bottom>
      <diagonal/>
    </border>
    <border>
      <left style="thin">
        <color theme="1" tint="0.3499862666707358"/>
      </left>
      <right style="thin">
        <color theme="1" tint="0.3499862666707358"/>
      </right>
      <top style="medium">
        <color theme="1" tint="0.3499862666707358"/>
      </top>
      <bottom style="thin">
        <color theme="0" tint="-0.249946592608417"/>
      </bottom>
      <diagonal/>
    </border>
    <border>
      <left/>
      <right style="thin">
        <color theme="0" tint="-0.249946592608417"/>
      </right>
      <top style="thin">
        <color theme="1" tint="0.3499862666707358"/>
      </top>
      <bottom/>
      <diagonal/>
    </border>
    <border>
      <left/>
      <right style="thin">
        <color theme="0" tint="-0.249946592608417"/>
      </right>
      <top style="thin">
        <color theme="0" tint="-0.249946592608417"/>
      </top>
      <bottom/>
      <diagonal/>
    </border>
    <border>
      <left style="thin">
        <color theme="1" tint="0.3499862666707358"/>
      </left>
      <right style="medium">
        <color theme="0" tint="-0.499984740745262"/>
      </right>
      <top/>
      <bottom/>
      <diagonal/>
    </border>
    <border>
      <left style="thin">
        <color theme="1" tint="0.3499862666707358"/>
      </left>
      <right style="medium">
        <color theme="0" tint="-0.499984740745262"/>
      </right>
      <top/>
      <bottom style="thin">
        <color theme="1" tint="0.3499862666707358"/>
      </bottom>
      <diagonal/>
    </border>
    <border>
      <left style="thin">
        <color theme="0" tint="-0.249946592608417"/>
      </left>
      <right style="medium">
        <color theme="0" tint="-0.499984740745262"/>
      </right>
      <top style="thin">
        <color theme="1" tint="0.3499862666707358"/>
      </top>
      <bottom style="thin">
        <color theme="0" tint="-0.249946592608417"/>
      </bottom>
      <diagonal/>
    </border>
    <border>
      <left/>
      <right style="medium">
        <color theme="0" tint="-0.499984740745262"/>
      </right>
      <top style="thin">
        <color theme="1" tint="0.3499862666707358"/>
      </top>
      <bottom/>
      <diagonal/>
    </border>
    <border>
      <left style="thin">
        <color theme="0" tint="-0.249946592608417"/>
      </left>
      <right style="medium">
        <color theme="0" tint="-0.499984740745262"/>
      </right>
      <top style="thin">
        <color theme="0" tint="-0.249946592608417"/>
      </top>
      <bottom style="thin">
        <color theme="0" tint="-0.249946592608417"/>
      </bottom>
      <diagonal/>
    </border>
    <border>
      <left/>
      <right style="medium">
        <color theme="0" tint="-0.499984740745262"/>
      </right>
      <top style="thin">
        <color theme="0" tint="-0.249946592608417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249946592608417"/>
      </right>
      <top style="medium">
        <color theme="1" tint="0.3499862666707358"/>
      </top>
      <bottom/>
      <diagonal/>
    </border>
    <border>
      <left style="medium">
        <color theme="0" tint="-0.499984740745262"/>
      </left>
      <right style="thin">
        <color auto="1"/>
      </right>
      <top/>
      <bottom style="thin">
        <color theme="1" tint="0.3499862666707358"/>
      </bottom>
      <diagonal/>
    </border>
    <border>
      <left style="thin">
        <color auto="1"/>
      </left>
      <right style="thin">
        <color theme="1" tint="0.3499862666707358"/>
      </right>
      <top/>
      <bottom style="thin">
        <color theme="1" tint="0.3499862666707358"/>
      </bottom>
      <diagonal/>
    </border>
    <border>
      <left style="medium">
        <color theme="0" tint="-0.499984740745262"/>
      </left>
      <right style="thin">
        <color theme="1" tint="0.3499862666707358"/>
      </right>
      <top/>
      <bottom/>
      <diagonal/>
    </border>
    <border>
      <left style="medium">
        <color theme="0" tint="-0.499984740745262"/>
      </left>
      <right style="thin">
        <color theme="0" tint="-0.249946592608417"/>
      </right>
      <top style="thin">
        <color theme="1" tint="0.3499862666707358"/>
      </top>
      <bottom style="thin">
        <color theme="0" tint="-0.249946592608417"/>
      </bottom>
      <diagonal/>
    </border>
    <border>
      <left style="thin">
        <color theme="0" tint="-0.249946592608417"/>
      </left>
      <right style="thin">
        <color theme="1" tint="0.3499862666707358"/>
      </right>
      <top style="thin">
        <color theme="1" tint="0.3499862666707358"/>
      </top>
      <bottom style="thin">
        <color theme="0" tint="-0.249946592608417"/>
      </bottom>
      <diagonal/>
    </border>
    <border>
      <left style="thin">
        <color theme="0" tint="-0.249946592608417"/>
      </left>
      <right style="thin">
        <color theme="1" tint="0.3499862666707358"/>
      </right>
      <top style="thin">
        <color theme="0" tint="-0.249946592608417"/>
      </top>
      <bottom style="thin">
        <color theme="0" tint="-0.249946592608417"/>
      </bottom>
      <diagonal/>
    </border>
    <border>
      <left style="medium">
        <color theme="0" tint="-0.499984740745262"/>
      </left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medium">
        <color theme="0" tint="-0.499984740745262"/>
      </left>
      <right style="thin">
        <color theme="0" tint="-0.249946592608417"/>
      </right>
      <top style="thin">
        <color theme="0" tint="-0.249946592608417"/>
      </top>
      <bottom style="medium">
        <color theme="1" tint="0.3499862666707358"/>
      </bottom>
      <diagonal/>
    </border>
    <border>
      <left style="thin">
        <color theme="0" tint="-0.249946592608417"/>
      </left>
      <right style="thin">
        <color theme="1" tint="0.3499862666707358"/>
      </right>
      <top style="thin">
        <color theme="0" tint="-0.249946592608417"/>
      </top>
      <bottom style="medium">
        <color theme="1" tint="0.3499862666707358"/>
      </bottom>
      <diagonal/>
    </border>
    <border>
      <left style="thin">
        <color theme="0" tint="-0.249946592608417"/>
      </left>
      <right style="medium">
        <color theme="0" tint="-0.499984740745262"/>
      </right>
      <top style="thin">
        <color theme="0" tint="-0.249946592608417"/>
      </top>
      <bottom style="medium">
        <color theme="1" tint="0.3499862666707358"/>
      </bottom>
      <diagonal/>
    </border>
    <border>
      <left style="thin">
        <color theme="0" tint="-0.249946592608417"/>
      </left>
      <right style="thin">
        <color theme="1" tint="0.3499862666707358"/>
      </right>
      <top style="medium">
        <color theme="1" tint="0.3499862666707358"/>
      </top>
      <bottom style="thin">
        <color theme="0" tint="-0.249946592608417"/>
      </bottom>
      <diagonal/>
    </border>
    <border>
      <left style="medium">
        <color theme="0" tint="-0.499984740745262"/>
      </left>
      <right style="thin">
        <color theme="0" tint="-0.249946592608417"/>
      </right>
      <top style="medium">
        <color theme="1" tint="0.3499862666707358"/>
      </top>
      <bottom style="thin">
        <color theme="0" tint="-0.249946592608417"/>
      </bottom>
      <diagonal/>
    </border>
    <border>
      <left style="thin">
        <color theme="0" tint="-0.249946592608417"/>
      </left>
      <right style="medium">
        <color theme="0" tint="-0.499984740745262"/>
      </right>
      <top style="medium">
        <color theme="1" tint="0.3499862666707358"/>
      </top>
      <bottom style="thin">
        <color theme="0" tint="-0.249946592608417"/>
      </bottom>
      <diagonal/>
    </border>
    <border>
      <left/>
      <right style="medium">
        <color theme="0" tint="-0.499984740745262"/>
      </right>
      <top style="medium">
        <color theme="1" tint="0.3499862666707358"/>
      </top>
      <bottom/>
      <diagonal/>
    </border>
    <border>
      <left/>
      <right/>
      <top style="medium">
        <color theme="0" tint="-0.499984740745262"/>
      </top>
      <bottom/>
      <diagonal/>
    </border>
    <border>
      <left/>
      <right style="thin">
        <color theme="0" tint="-0.249946592608417"/>
      </right>
      <top style="thin">
        <color theme="0" tint="-0.249946592608417"/>
      </top>
      <bottom style="medium">
        <color theme="0" tint="-0.499984740745262"/>
      </bottom>
      <diagonal/>
    </border>
    <border>
      <left/>
      <right style="thin">
        <color theme="0" tint="-0.249946592608417"/>
      </right>
      <top style="medium">
        <color theme="0" tint="-0.499984740745262"/>
      </top>
      <bottom/>
      <diagonal/>
    </border>
    <border>
      <left/>
      <right style="thin">
        <color theme="0" tint="-0.249946592608417"/>
      </right>
      <top style="medium">
        <color theme="0" tint="-0.499984740745262"/>
      </top>
      <bottom style="thin">
        <color theme="0" tint="-0.249946592608417"/>
      </bottom>
      <diagonal/>
    </border>
    <border>
      <left/>
      <right style="thin">
        <color theme="0" tint="-0.499984740745262"/>
      </right>
      <top style="medium">
        <color theme="0" tint="-0.499984740745262"/>
      </top>
      <bottom style="medium">
        <color theme="0" tint="-0.499984740745262"/>
      </bottom>
      <diagonal/>
    </border>
    <border>
      <left/>
      <right style="thin">
        <color theme="0" tint="-0.249946592608417"/>
      </right>
      <top/>
      <bottom/>
      <diagonal/>
    </border>
    <border>
      <left/>
      <right style="thin">
        <color theme="0" tint="-0.249946592608417"/>
      </right>
      <top/>
      <bottom style="thin">
        <color theme="0" tint="-0.249946592608417"/>
      </bottom>
      <diagonal/>
    </border>
    <border>
      <left style="thin">
        <color theme="0" tint="-0.499984740745262"/>
      </left>
      <right style="thin">
        <color theme="0" tint="-0.499984740745262"/>
      </right>
      <top style="medium">
        <color theme="0" tint="-0.499984740745262"/>
      </top>
      <bottom style="thin">
        <color theme="0" tint="-0.249946592608417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249946592608417"/>
      </top>
      <bottom style="medium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249946592608417"/>
      </bottom>
      <diagonal/>
    </border>
    <border>
      <left/>
      <right style="thin">
        <color theme="0" tint="-0.249946592608417"/>
      </right>
      <top style="thin">
        <color theme="0" tint="-0.499984740745262"/>
      </top>
      <bottom/>
      <diagonal/>
    </border>
    <border>
      <left/>
      <right style="thin">
        <color theme="0" tint="-0.249946592608417"/>
      </right>
      <top style="thin">
        <color theme="0" tint="-0.499984740745262"/>
      </top>
      <bottom style="thin">
        <color theme="0" tint="-0.249946592608417"/>
      </bottom>
      <diagonal/>
    </border>
    <border>
      <left style="thin">
        <color theme="0" tint="-0.499984740745262"/>
      </left>
      <right style="thin">
        <color indexed="64"/>
      </right>
      <top style="thin">
        <color theme="0" tint="-0.249946592608417"/>
      </top>
      <bottom style="thin">
        <color theme="0" tint="-0.249946592608417"/>
      </bottom>
      <diagonal/>
    </border>
    <border>
      <left/>
      <right style="thin">
        <color indexed="64"/>
      </right>
      <top style="thin">
        <color theme="0" tint="-0.249946592608417"/>
      </top>
      <bottom/>
      <diagonal/>
    </border>
    <border>
      <left style="thin">
        <color theme="0" tint="-0.3499862666707358"/>
      </left>
      <right style="thin">
        <color theme="0" tint="-0.499984740745262"/>
      </right>
      <top style="thin">
        <color theme="0" tint="-0.3499862666707358"/>
      </top>
      <bottom style="medium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3499862666707358"/>
      </top>
      <bottom/>
      <diagonal/>
    </border>
    <border>
      <left/>
      <right style="thin">
        <color theme="0" tint="-0.249946592608417"/>
      </right>
      <top style="thin">
        <color theme="0" tint="-0.3499862666707358"/>
      </top>
      <bottom/>
      <diagonal/>
    </border>
    <border>
      <left/>
      <right style="thin">
        <color theme="0" tint="-0.249946592608417"/>
      </right>
      <top style="thin">
        <color theme="0" tint="-0.3499862666707358"/>
      </top>
      <bottom style="medium">
        <color theme="0" tint="-0.499984740745262"/>
      </bottom>
      <diagonal/>
    </border>
    <border>
      <left/>
      <right style="thin">
        <color theme="0" tint="-0.249946592608417"/>
      </right>
      <top style="thin">
        <color theme="0" tint="-0.249946592608417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249946592608417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249946592608417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3499862666707358"/>
      </top>
      <bottom style="medium">
        <color theme="0" tint="-0.499984740745262"/>
      </bottom>
      <diagonal/>
    </border>
    <border>
      <left/>
      <right/>
      <top style="thin">
        <color theme="0" tint="-0.3499862666707358"/>
      </top>
      <bottom style="thin">
        <color theme="0" tint="-0.3499862666707358"/>
      </bottom>
      <diagonal/>
    </border>
    <border>
      <left/>
      <right/>
      <top style="thin">
        <color theme="1" tint="0.3499862666707358"/>
      </top>
      <bottom style="thin">
        <color theme="0" tint="-0.3499862666707358"/>
      </bottom>
      <diagonal/>
    </border>
    <border>
      <left/>
      <right style="thin">
        <color theme="0" tint="-0.249946592608417"/>
      </right>
      <top style="thin">
        <color theme="1" tint="0.3499862666707358"/>
      </top>
      <bottom style="thin">
        <color theme="0" tint="-0.3499862666707358"/>
      </bottom>
      <diagonal/>
    </border>
    <border>
      <left style="thin">
        <color theme="1" tint="0.3499862666707358"/>
      </left>
      <right style="thin">
        <color theme="1" tint="0.3499862666707358"/>
      </right>
      <top style="medium">
        <color theme="1" tint="0.3499862666707358"/>
      </top>
      <bottom/>
      <diagonal/>
    </border>
    <border>
      <left style="thin">
        <color theme="1" tint="0.3499862666707358"/>
      </left>
      <right/>
      <top/>
      <bottom style="thin">
        <color theme="0" tint="-0.3499862666707358"/>
      </bottom>
      <diagonal/>
    </border>
    <border>
      <left/>
      <right style="thin">
        <color theme="0" tint="-0.249946592608417"/>
      </right>
      <top/>
      <bottom style="medium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medium">
        <color theme="0" tint="-0.499984740745262"/>
      </bottom>
      <diagonal/>
    </border>
    <border>
      <left style="thin">
        <color theme="1" tint="0.3499862666707358"/>
      </left>
      <right style="medium">
        <color theme="1" tint="0.3499862666707358"/>
      </right>
      <top style="medium">
        <color theme="1" tint="0.3499862666707358"/>
      </top>
      <bottom/>
      <diagonal/>
    </border>
    <border>
      <left/>
      <right style="thin">
        <color theme="1" tint="0.499984740745262"/>
      </right>
      <top style="thin">
        <color theme="0" tint="-0.249946592608417"/>
      </top>
      <bottom/>
      <diagonal/>
    </border>
    <border>
      <left/>
      <right style="thin">
        <color theme="0" tint="-0.249946592608417"/>
      </right>
      <top/>
      <bottom style="thin">
        <color theme="1" tint="0.499984740745262"/>
      </bottom>
      <diagonal/>
    </border>
    <border>
      <left/>
      <right/>
      <top style="thin">
        <color theme="1" tint="0.499984740745262"/>
      </top>
      <bottom/>
      <diagonal/>
    </border>
    <border>
      <left/>
      <right style="thin">
        <color theme="0" tint="-0.249946592608417"/>
      </right>
      <top style="thin">
        <color theme="1" tint="0.499984740745262"/>
      </top>
      <bottom/>
      <diagonal/>
    </border>
    <border>
      <left/>
      <right style="thin">
        <color theme="0" tint="-0.3499862666707358"/>
      </right>
      <top style="thin">
        <color theme="1" tint="0.3499862666707358"/>
      </top>
      <bottom/>
      <diagonal/>
    </border>
    <border>
      <left style="medium">
        <color theme="1" tint="0.3499862666707358"/>
      </left>
      <right/>
      <top/>
      <bottom/>
      <diagonal/>
    </border>
    <border>
      <left style="medium">
        <color theme="1" tint="0.3499862666707358"/>
      </left>
      <right/>
      <top/>
      <bottom style="thin">
        <color theme="0" tint="-0.3499862666707358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theme="0" tint="-0.3499862666707358"/>
      </bottom>
      <diagonal/>
    </border>
    <border>
      <left/>
      <right/>
      <top style="thin">
        <color theme="0" tint="-0.3499862666707358"/>
      </top>
      <bottom style="thin">
        <color theme="1" tint="0.3499862666707358"/>
      </bottom>
      <diagonal/>
    </border>
  </borders>
  <cellStyleXfs count="2">
    <xf numFmtId="0" fontId="4" fillId="0" borderId="0"/>
    <xf numFmtId="9" fontId="4" fillId="0" borderId="0"/>
  </cellStyleXfs>
  <cellXfs count="633">
    <xf numFmtId="0" fontId="0" fillId="0" borderId="0" pivotButton="0" quotePrefix="0" xfId="0"/>
    <xf numFmtId="0" fontId="0" fillId="0" borderId="1" pivotButton="0" quotePrefix="0" xfId="0"/>
    <xf numFmtId="0" fontId="0" fillId="0" borderId="4" pivotButton="0" quotePrefix="0" xfId="0"/>
    <xf numFmtId="0" fontId="1" fillId="0" borderId="1" pivotButton="0" quotePrefix="0" xfId="0"/>
    <xf numFmtId="0" fontId="2" fillId="0" borderId="0" pivotButton="0" quotePrefix="0" xfId="0"/>
    <xf numFmtId="0" fontId="0" fillId="0" borderId="0" pivotButton="0" quotePrefix="1" xfId="0"/>
    <xf numFmtId="0" fontId="0" fillId="0" borderId="3" pivotButton="0" quotePrefix="0" xfId="0"/>
    <xf numFmtId="0" fontId="0" fillId="0" borderId="2" pivotButton="0" quotePrefix="0" xfId="0"/>
    <xf numFmtId="0" fontId="0" fillId="0" borderId="8" pivotButton="0" quotePrefix="0" xfId="0"/>
    <xf numFmtId="0" fontId="0" fillId="0" borderId="7" pivotButton="0" quotePrefix="1" xfId="0"/>
    <xf numFmtId="0" fontId="0" fillId="0" borderId="5" pivotButton="0" quotePrefix="0" xfId="0"/>
    <xf numFmtId="0" fontId="0" fillId="0" borderId="1" pivotButton="0" quotePrefix="1" xfId="0"/>
    <xf numFmtId="0" fontId="0" fillId="0" borderId="6" pivotButton="0" quotePrefix="1" xfId="0"/>
    <xf numFmtId="0" fontId="0" fillId="0" borderId="2" applyAlignment="1" pivotButton="0" quotePrefix="0" xfId="0">
      <alignment wrapText="1"/>
    </xf>
    <xf numFmtId="0" fontId="0" fillId="0" borderId="7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center"/>
    </xf>
    <xf numFmtId="0" fontId="0" fillId="0" borderId="6" pivotButton="0" quotePrefix="0" xfId="0"/>
    <xf numFmtId="0" fontId="1" fillId="0" borderId="2" pivotButton="0" quotePrefix="0" xfId="0"/>
    <xf numFmtId="0" fontId="1" fillId="0" borderId="4" pivotButton="0" quotePrefix="0" xfId="0"/>
    <xf numFmtId="0" fontId="1" fillId="0" borderId="4" pivotButton="0" quotePrefix="1" xfId="0"/>
    <xf numFmtId="0" fontId="1" fillId="0" borderId="3" pivotButton="0" quotePrefix="0" xfId="0"/>
    <xf numFmtId="0" fontId="0" fillId="0" borderId="12" pivotButton="0" quotePrefix="0" xfId="0"/>
    <xf numFmtId="0" fontId="0" fillId="0" borderId="12" applyAlignment="1" pivotButton="0" quotePrefix="0" xfId="0">
      <alignment vertical="center"/>
    </xf>
    <xf numFmtId="0" fontId="0" fillId="0" borderId="14" pivotButton="0" quotePrefix="0" xfId="0"/>
    <xf numFmtId="0" fontId="0" fillId="0" borderId="0" applyAlignment="1" pivotButton="0" quotePrefix="0" xfId="0">
      <alignment horizontal="left" vertical="center"/>
    </xf>
    <xf numFmtId="0" fontId="0" fillId="0" borderId="4" applyAlignment="1" pivotButton="0" quotePrefix="0" xfId="0">
      <alignment wrapText="1"/>
    </xf>
    <xf numFmtId="0" fontId="0" fillId="0" borderId="22" pivotButton="0" quotePrefix="0" xfId="0"/>
    <xf numFmtId="0" fontId="0" fillId="0" borderId="20" pivotButton="0" quotePrefix="0" xfId="0"/>
    <xf numFmtId="0" fontId="0" fillId="0" borderId="16" pivotButton="0" quotePrefix="0" xfId="0"/>
    <xf numFmtId="0" fontId="0" fillId="0" borderId="14" applyAlignment="1" pivotButton="0" quotePrefix="0" xfId="0">
      <alignment horizontal="right" vertical="center"/>
    </xf>
    <xf numFmtId="0" fontId="0" fillId="0" borderId="79" pivotButton="0" quotePrefix="0" xfId="0"/>
    <xf numFmtId="0" fontId="0" fillId="0" borderId="57" pivotButton="0" quotePrefix="0" xfId="0"/>
    <xf numFmtId="0" fontId="0" fillId="0" borderId="80" pivotButton="0" quotePrefix="0" xfId="0"/>
    <xf numFmtId="0" fontId="0" fillId="0" borderId="24" pivotButton="0" quotePrefix="0" xfId="0"/>
    <xf numFmtId="0" fontId="0" fillId="0" borderId="28" pivotButton="0" quotePrefix="0" xfId="0"/>
    <xf numFmtId="0" fontId="0" fillId="0" borderId="81" pivotButton="0" quotePrefix="0" xfId="0"/>
    <xf numFmtId="0" fontId="0" fillId="0" borderId="80" applyAlignment="1" pivotButton="0" quotePrefix="0" xfId="0">
      <alignment horizontal="right"/>
    </xf>
    <xf numFmtId="0" fontId="1" fillId="0" borderId="0" applyAlignment="1" pivotButton="0" quotePrefix="0" xfId="0">
      <alignment vertical="center" wrapText="1"/>
    </xf>
    <xf numFmtId="0" fontId="1" fillId="0" borderId="7" applyAlignment="1" pivotButton="0" quotePrefix="0" xfId="0">
      <alignment vertical="center" textRotation="90"/>
    </xf>
    <xf numFmtId="0" fontId="0" fillId="0" borderId="0" applyAlignment="1" pivotButton="0" quotePrefix="1" xfId="0">
      <alignment wrapText="1"/>
    </xf>
    <xf numFmtId="0" fontId="1" fillId="0" borderId="3" pivotButton="0" quotePrefix="1" xfId="0"/>
    <xf numFmtId="0" fontId="1" fillId="0" borderId="0" pivotButton="0" quotePrefix="1" xfId="0"/>
    <xf numFmtId="0" fontId="1" fillId="0" borderId="123" applyAlignment="1" pivotButton="0" quotePrefix="0" xfId="0">
      <alignment vertical="top"/>
    </xf>
    <xf numFmtId="0" fontId="1" fillId="0" borderId="0" applyAlignment="1" pivotButton="0" quotePrefix="0" xfId="0">
      <alignment vertical="top"/>
    </xf>
    <xf numFmtId="0" fontId="1" fillId="0" borderId="93" applyAlignment="1" pivotButton="0" quotePrefix="0" xfId="0">
      <alignment vertical="top"/>
    </xf>
    <xf numFmtId="0" fontId="1" fillId="0" borderId="94" applyAlignment="1" pivotButton="0" quotePrefix="0" xfId="0">
      <alignment vertical="top"/>
    </xf>
    <xf numFmtId="0" fontId="0" fillId="0" borderId="0" applyAlignment="1" pivotButton="0" quotePrefix="0" xfId="0">
      <alignment wrapText="1"/>
    </xf>
    <xf numFmtId="0" fontId="1" fillId="0" borderId="56" pivotButton="0" quotePrefix="0" xfId="0"/>
    <xf numFmtId="0" fontId="1" fillId="0" borderId="17" pivotButton="0" quotePrefix="0" xfId="0"/>
    <xf numFmtId="0" fontId="1" fillId="0" borderId="147" applyAlignment="1" pivotButton="0" quotePrefix="0" xfId="0">
      <alignment vertical="center" wrapText="1"/>
    </xf>
    <xf numFmtId="0" fontId="1" fillId="0" borderId="44" pivotButton="0" quotePrefix="0" xfId="0"/>
    <xf numFmtId="0" fontId="0" fillId="0" borderId="41" applyAlignment="1" pivotButton="0" quotePrefix="0" xfId="0">
      <alignment vertical="center"/>
    </xf>
    <xf numFmtId="0" fontId="0" fillId="0" borderId="41" applyAlignment="1" pivotButton="0" quotePrefix="0" xfId="0">
      <alignment horizontal="left" vertical="center"/>
    </xf>
    <xf numFmtId="0" fontId="9" fillId="0" borderId="41" applyAlignment="1" pivotButton="0" quotePrefix="0" xfId="0">
      <alignment horizontal="left" vertical="center" wrapText="1"/>
    </xf>
    <xf numFmtId="0" fontId="9" fillId="0" borderId="108" applyAlignment="1" pivotButton="0" quotePrefix="0" xfId="0">
      <alignment horizontal="left" vertical="center" wrapText="1"/>
    </xf>
    <xf numFmtId="0" fontId="0" fillId="0" borderId="85" applyAlignment="1" pivotButton="0" quotePrefix="0" xfId="0">
      <alignment vertical="center"/>
    </xf>
    <xf numFmtId="0" fontId="0" fillId="0" borderId="113" applyAlignment="1" pivotButton="0" quotePrefix="0" xfId="0">
      <alignment vertical="center"/>
    </xf>
    <xf numFmtId="0" fontId="0" fillId="0" borderId="4" pivotButton="0" quotePrefix="1" xfId="0"/>
    <xf numFmtId="0" fontId="1" fillId="0" borderId="126" applyAlignment="1" pivotButton="0" quotePrefix="0" xfId="0">
      <alignment vertical="top" textRotation="90" wrapText="1"/>
    </xf>
    <xf numFmtId="0" fontId="6" fillId="0" borderId="56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6" fillId="0" borderId="135" applyAlignment="1" pivotButton="0" quotePrefix="0" xfId="0">
      <alignment vertical="center"/>
    </xf>
    <xf numFmtId="0" fontId="1" fillId="0" borderId="18" applyAlignment="1" pivotButton="0" quotePrefix="0" xfId="0">
      <alignment vertical="center"/>
    </xf>
    <xf numFmtId="0" fontId="0" fillId="0" borderId="25" pivotButton="0" quotePrefix="0" xfId="0"/>
    <xf numFmtId="0" fontId="0" fillId="0" borderId="25" applyAlignment="1" pivotButton="0" quotePrefix="0" xfId="0">
      <alignment horizontal="right" vertical="center"/>
    </xf>
    <xf numFmtId="0" fontId="0" fillId="0" borderId="43" pivotButton="0" quotePrefix="0" xfId="0"/>
    <xf numFmtId="0" fontId="1" fillId="0" borderId="25" pivotButton="0" quotePrefix="0" xfId="0"/>
    <xf numFmtId="0" fontId="1" fillId="0" borderId="25" applyAlignment="1" pivotButton="0" quotePrefix="0" xfId="0">
      <alignment horizontal="right" vertical="center"/>
    </xf>
    <xf numFmtId="0" fontId="1" fillId="0" borderId="43" pivotButton="0" quotePrefix="0" xfId="0"/>
    <xf numFmtId="0" fontId="0" fillId="0" borderId="208" pivotButton="0" quotePrefix="0" xfId="0"/>
    <xf numFmtId="0" fontId="0" fillId="0" borderId="41" pivotButton="0" quotePrefix="0" xfId="0"/>
    <xf numFmtId="0" fontId="0" fillId="0" borderId="215" applyAlignment="1" pivotButton="0" quotePrefix="0" xfId="0">
      <alignment vertical="center"/>
    </xf>
    <xf numFmtId="0" fontId="0" fillId="0" borderId="215" pivotButton="0" quotePrefix="0" xfId="0"/>
    <xf numFmtId="0" fontId="0" fillId="0" borderId="210" pivotButton="0" quotePrefix="0" xfId="0"/>
    <xf numFmtId="0" fontId="0" fillId="0" borderId="216" pivotButton="0" quotePrefix="0" xfId="0"/>
    <xf numFmtId="0" fontId="0" fillId="0" borderId="206" pivotButton="0" quotePrefix="0" xfId="0"/>
    <xf numFmtId="0" fontId="0" fillId="0" borderId="207" pivotButton="0" quotePrefix="0" xfId="0"/>
    <xf numFmtId="0" fontId="8" fillId="0" borderId="77" applyAlignment="1" pivotButton="0" quotePrefix="0" xfId="0">
      <alignment horizontal="center" vertical="center"/>
    </xf>
    <xf numFmtId="0" fontId="8" fillId="0" borderId="78" applyAlignment="1" pivotButton="0" quotePrefix="0" xfId="0">
      <alignment horizontal="center" vertical="center"/>
    </xf>
    <xf numFmtId="0" fontId="7" fillId="0" borderId="141" applyAlignment="1" applyProtection="1" pivotButton="0" quotePrefix="0" xfId="0">
      <alignment horizontal="left" vertical="center"/>
      <protection locked="0" hidden="0"/>
    </xf>
    <xf numFmtId="0" fontId="7" fillId="0" borderId="142" applyAlignment="1" applyProtection="1" pivotButton="0" quotePrefix="0" xfId="0">
      <alignment horizontal="left" vertical="center"/>
      <protection locked="0" hidden="0"/>
    </xf>
    <xf numFmtId="0" fontId="0" fillId="0" borderId="137" applyAlignment="1" applyProtection="1" pivotButton="0" quotePrefix="0" xfId="0">
      <alignment horizontal="left" vertical="center"/>
      <protection locked="0" hidden="0"/>
    </xf>
    <xf numFmtId="0" fontId="0" fillId="0" borderId="138" applyAlignment="1" applyProtection="1" pivotButton="0" quotePrefix="0" xfId="0">
      <alignment horizontal="left" vertical="center"/>
      <protection locked="0" hidden="0"/>
    </xf>
    <xf numFmtId="0" fontId="7" fillId="0" borderId="145" applyAlignment="1" applyProtection="1" pivotButton="0" quotePrefix="0" xfId="0">
      <alignment horizontal="left" vertical="center"/>
      <protection locked="0" hidden="0"/>
    </xf>
    <xf numFmtId="0" fontId="7" fillId="0" borderId="146" applyAlignment="1" applyProtection="1" pivotButton="0" quotePrefix="0" xfId="0">
      <alignment horizontal="left" vertical="center"/>
      <protection locked="0" hidden="0"/>
    </xf>
    <xf numFmtId="0" fontId="0" fillId="0" borderId="29" applyAlignment="1" pivotButton="0" quotePrefix="0" xfId="0">
      <alignment horizontal="center" vertical="center"/>
    </xf>
    <xf numFmtId="0" fontId="0" fillId="0" borderId="83" applyAlignment="1" pivotButton="0" quotePrefix="0" xfId="0">
      <alignment horizontal="center" vertical="center"/>
    </xf>
    <xf numFmtId="0" fontId="12" fillId="0" borderId="107" applyAlignment="1" applyProtection="1" pivotButton="0" quotePrefix="0" xfId="0">
      <alignment horizontal="center" vertical="center"/>
      <protection locked="0" hidden="0"/>
    </xf>
    <xf numFmtId="0" fontId="12" fillId="0" borderId="41" applyAlignment="1" applyProtection="1" pivotButton="0" quotePrefix="0" xfId="0">
      <alignment horizontal="center" vertical="center"/>
      <protection locked="0" hidden="0"/>
    </xf>
    <xf numFmtId="0" fontId="12" fillId="0" borderId="108" applyAlignment="1" applyProtection="1" pivotButton="0" quotePrefix="0" xfId="0">
      <alignment horizontal="center" vertical="center"/>
      <protection locked="0" hidden="0"/>
    </xf>
    <xf numFmtId="0" fontId="0" fillId="0" borderId="114" applyAlignment="1" pivotButton="0" quotePrefix="0" xfId="0">
      <alignment horizontal="center" vertical="center"/>
    </xf>
    <xf numFmtId="0" fontId="0" fillId="0" borderId="115" applyAlignment="1" pivotButton="0" quotePrefix="0" xfId="0">
      <alignment horizontal="center" vertical="center"/>
    </xf>
    <xf numFmtId="0" fontId="0" fillId="0" borderId="107" applyAlignment="1" pivotButton="0" quotePrefix="0" xfId="0">
      <alignment horizontal="center" vertical="center"/>
    </xf>
    <xf numFmtId="0" fontId="0" fillId="0" borderId="108" applyAlignment="1" pivotButton="0" quotePrefix="0" xfId="0">
      <alignment horizontal="center" vertical="center"/>
    </xf>
    <xf numFmtId="0" fontId="0" fillId="0" borderId="196" applyAlignment="1" pivotButton="0" quotePrefix="0" xfId="0">
      <alignment horizontal="center" vertical="center"/>
    </xf>
    <xf numFmtId="0" fontId="0" fillId="0" borderId="198" applyAlignment="1" pivotButton="0" quotePrefix="0" xfId="0">
      <alignment horizontal="center" vertical="center"/>
    </xf>
    <xf numFmtId="0" fontId="0" fillId="0" borderId="194" applyAlignment="1" pivotButton="0" quotePrefix="0" xfId="0">
      <alignment horizontal="center" vertical="center"/>
    </xf>
    <xf numFmtId="0" fontId="0" fillId="0" borderId="125" applyAlignment="1" pivotButton="0" quotePrefix="0" xfId="0">
      <alignment horizontal="center" vertical="center"/>
    </xf>
    <xf numFmtId="0" fontId="0" fillId="0" borderId="137" applyAlignment="1" pivotButton="0" quotePrefix="0" xfId="0">
      <alignment horizontal="center" vertical="center"/>
    </xf>
    <xf numFmtId="0" fontId="1" fillId="0" borderId="27" applyAlignment="1" pivotButton="0" quotePrefix="0" xfId="0">
      <alignment horizontal="center"/>
    </xf>
    <xf numFmtId="0" fontId="1" fillId="0" borderId="26" applyAlignment="1" pivotButton="0" quotePrefix="0" xfId="0">
      <alignment horizontal="center"/>
    </xf>
    <xf numFmtId="0" fontId="1" fillId="0" borderId="39" applyAlignment="1" pivotButton="0" quotePrefix="0" xfId="0">
      <alignment horizontal="center"/>
    </xf>
    <xf numFmtId="0" fontId="1" fillId="0" borderId="56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22" applyAlignment="1" pivotButton="0" quotePrefix="0" xfId="0">
      <alignment horizontal="center"/>
    </xf>
    <xf numFmtId="0" fontId="0" fillId="0" borderId="141" applyAlignment="1" pivotButton="0" quotePrefix="0" xfId="0">
      <alignment horizontal="center" vertical="center"/>
    </xf>
    <xf numFmtId="0" fontId="1" fillId="0" borderId="27" applyAlignment="1" pivotButton="0" quotePrefix="0" xfId="0">
      <alignment horizontal="left"/>
    </xf>
    <xf numFmtId="0" fontId="1" fillId="0" borderId="26" applyAlignment="1" pivotButton="0" quotePrefix="0" xfId="0">
      <alignment horizontal="left"/>
    </xf>
    <xf numFmtId="0" fontId="1" fillId="0" borderId="40" applyAlignment="1" pivotButton="0" quotePrefix="0" xfId="0">
      <alignment horizontal="left"/>
    </xf>
    <xf numFmtId="0" fontId="1" fillId="0" borderId="56" applyAlignment="1" pivotButton="0" quotePrefix="0" xfId="0">
      <alignment horizontal="left"/>
    </xf>
    <xf numFmtId="0" fontId="1" fillId="0" borderId="0" applyAlignment="1" pivotButton="0" quotePrefix="0" xfId="0">
      <alignment horizontal="left"/>
    </xf>
    <xf numFmtId="0" fontId="1" fillId="0" borderId="135" applyAlignment="1" pivotButton="0" quotePrefix="0" xfId="0">
      <alignment horizontal="left"/>
    </xf>
    <xf numFmtId="0" fontId="0" fillId="0" borderId="187" applyAlignment="1" pivotButton="0" quotePrefix="0" xfId="0">
      <alignment horizontal="center"/>
    </xf>
    <xf numFmtId="0" fontId="8" fillId="0" borderId="194" applyAlignment="1" applyProtection="1" pivotButton="0" quotePrefix="0" xfId="0">
      <alignment horizontal="center" vertical="center"/>
      <protection locked="0" hidden="0"/>
    </xf>
    <xf numFmtId="0" fontId="8" fillId="0" borderId="147" applyAlignment="1" applyProtection="1" pivotButton="0" quotePrefix="0" xfId="0">
      <alignment horizontal="center" vertical="center"/>
      <protection locked="0" hidden="0"/>
    </xf>
    <xf numFmtId="0" fontId="8" fillId="0" borderId="125" applyAlignment="1" applyProtection="1" pivotButton="0" quotePrefix="0" xfId="0">
      <alignment horizontal="center" vertical="center"/>
      <protection locked="0" hidden="0"/>
    </xf>
    <xf numFmtId="0" fontId="8" fillId="0" borderId="107" applyAlignment="1" applyProtection="1" pivotButton="0" quotePrefix="0" xfId="0">
      <alignment horizontal="center" vertical="center" wrapText="1"/>
      <protection locked="0" hidden="0"/>
    </xf>
    <xf numFmtId="0" fontId="8" fillId="0" borderId="41" applyAlignment="1" applyProtection="1" pivotButton="0" quotePrefix="0" xfId="0">
      <alignment horizontal="center" vertical="center" wrapText="1"/>
      <protection locked="0" hidden="0"/>
    </xf>
    <xf numFmtId="0" fontId="8" fillId="0" borderId="108" applyAlignment="1" applyProtection="1" pivotButton="0" quotePrefix="0" xfId="0">
      <alignment horizontal="center" vertical="center" wrapText="1"/>
      <protection locked="0" hidden="0"/>
    </xf>
    <xf numFmtId="0" fontId="0" fillId="0" borderId="186" applyAlignment="1" pivotButton="0" quotePrefix="0" xfId="0">
      <alignment horizontal="center"/>
    </xf>
    <xf numFmtId="0" fontId="9" fillId="0" borderId="41" applyAlignment="1" pivotButton="0" quotePrefix="0" xfId="0">
      <alignment horizontal="left" vertical="center" wrapText="1"/>
    </xf>
    <xf numFmtId="0" fontId="9" fillId="0" borderId="145" applyAlignment="1" pivotButton="0" quotePrefix="0" xfId="0">
      <alignment horizontal="center" vertical="center" wrapText="1"/>
    </xf>
    <xf numFmtId="0" fontId="9" fillId="0" borderId="145" applyAlignment="1" pivotButton="0" quotePrefix="0" xfId="0">
      <alignment horizontal="center" vertical="center"/>
    </xf>
    <xf numFmtId="0" fontId="0" fillId="0" borderId="145" applyAlignment="1" pivotButton="0" quotePrefix="0" xfId="0">
      <alignment horizontal="center" vertical="center"/>
    </xf>
    <xf numFmtId="0" fontId="0" fillId="0" borderId="89" applyAlignment="1" pivotButton="0" quotePrefix="0" xfId="0">
      <alignment horizontal="center" vertical="center"/>
    </xf>
    <xf numFmtId="0" fontId="0" fillId="0" borderId="105" applyAlignment="1" pivotButton="0" quotePrefix="0" xfId="0">
      <alignment horizontal="center" vertical="center"/>
    </xf>
    <xf numFmtId="0" fontId="0" fillId="0" borderId="103" applyAlignment="1" pivotButton="0" quotePrefix="0" xfId="0">
      <alignment horizontal="center" vertical="center"/>
    </xf>
    <xf numFmtId="0" fontId="0" fillId="0" borderId="41" applyAlignment="1" pivotButton="0" quotePrefix="0" xfId="0">
      <alignment horizontal="left" vertical="center"/>
    </xf>
    <xf numFmtId="0" fontId="8" fillId="0" borderId="195" applyAlignment="1" applyProtection="1" pivotButton="0" quotePrefix="0" xfId="0">
      <alignment horizontal="center" vertical="center"/>
      <protection locked="0" hidden="0"/>
    </xf>
    <xf numFmtId="0" fontId="8" fillId="0" borderId="196" applyAlignment="1" applyProtection="1" pivotButton="0" quotePrefix="0" xfId="0">
      <alignment horizontal="center" vertical="center"/>
      <protection locked="0" hidden="0"/>
    </xf>
    <xf numFmtId="0" fontId="8" fillId="0" borderId="197" applyAlignment="1" applyProtection="1" pivotButton="0" quotePrefix="0" xfId="0">
      <alignment horizontal="center" vertical="center"/>
      <protection locked="0" hidden="0"/>
    </xf>
    <xf numFmtId="0" fontId="0" fillId="0" borderId="195" applyAlignment="1" pivotButton="0" quotePrefix="0" xfId="0">
      <alignment horizontal="center" vertical="center"/>
    </xf>
    <xf numFmtId="0" fontId="0" fillId="0" borderId="192" applyAlignment="1" pivotButton="0" quotePrefix="0" xfId="0">
      <alignment horizontal="left" vertical="center"/>
    </xf>
    <xf numFmtId="0" fontId="0" fillId="0" borderId="9" applyAlignment="1" pivotButton="0" quotePrefix="0" xfId="0">
      <alignment horizontal="left" vertical="center"/>
    </xf>
    <xf numFmtId="0" fontId="9" fillId="0" borderId="9" applyAlignment="1" pivotButton="0" quotePrefix="0" xfId="0">
      <alignment horizontal="left" vertical="center" wrapText="1"/>
    </xf>
    <xf numFmtId="0" fontId="0" fillId="0" borderId="107" applyAlignment="1" pivotButton="0" quotePrefix="0" xfId="0">
      <alignment horizontal="left" vertical="center"/>
    </xf>
    <xf numFmtId="0" fontId="9" fillId="0" borderId="141" applyAlignment="1" pivotButton="0" quotePrefix="0" xfId="0">
      <alignment horizontal="center" vertical="center" wrapText="1"/>
    </xf>
    <xf numFmtId="0" fontId="1" fillId="0" borderId="27" applyAlignment="1" pivotButton="0" quotePrefix="0" xfId="0">
      <alignment horizontal="center" wrapText="1"/>
    </xf>
    <xf numFmtId="0" fontId="0" fillId="0" borderId="136" applyAlignment="1" pivotButton="0" quotePrefix="0" xfId="0">
      <alignment horizontal="right" vertical="center"/>
    </xf>
    <xf numFmtId="0" fontId="0" fillId="0" borderId="137" applyAlignment="1" pivotButton="0" quotePrefix="0" xfId="0">
      <alignment horizontal="right" vertical="center"/>
    </xf>
    <xf numFmtId="0" fontId="0" fillId="0" borderId="107" applyAlignment="1" pivotButton="0" quotePrefix="0" xfId="0">
      <alignment horizontal="center" vertical="center" wrapText="1"/>
    </xf>
    <xf numFmtId="0" fontId="0" fillId="0" borderId="41" applyAlignment="1" pivotButton="0" quotePrefix="0" xfId="0">
      <alignment horizontal="center" vertical="center" wrapText="1"/>
    </xf>
    <xf numFmtId="0" fontId="0" fillId="0" borderId="112" applyAlignment="1" pivotButton="0" quotePrefix="0" xfId="0">
      <alignment horizontal="center" vertical="center" wrapText="1"/>
    </xf>
    <xf numFmtId="0" fontId="0" fillId="0" borderId="85" applyAlignment="1" pivotButton="0" quotePrefix="0" xfId="0">
      <alignment horizontal="center" vertical="center" wrapText="1"/>
    </xf>
    <xf numFmtId="0" fontId="0" fillId="0" borderId="139" applyAlignment="1" pivotButton="0" quotePrefix="0" xfId="0">
      <alignment horizontal="center" vertical="center" textRotation="90"/>
    </xf>
    <xf numFmtId="0" fontId="0" fillId="0" borderId="143" applyAlignment="1" pivotButton="0" quotePrefix="0" xfId="0">
      <alignment horizontal="center" vertical="center" textRotation="90"/>
    </xf>
    <xf numFmtId="0" fontId="0" fillId="0" borderId="41" applyAlignment="1" pivotButton="0" quotePrefix="0" xfId="0">
      <alignment horizontal="right" vertical="center" wrapText="1"/>
    </xf>
    <xf numFmtId="0" fontId="0" fillId="0" borderId="85" applyAlignment="1" pivotButton="0" quotePrefix="0" xfId="0">
      <alignment horizontal="right" vertical="center" wrapText="1"/>
    </xf>
    <xf numFmtId="0" fontId="5" fillId="0" borderId="221" applyAlignment="1" pivotButton="0" quotePrefix="0" xfId="0">
      <alignment horizontal="left" vertical="center" wrapText="1"/>
    </xf>
    <xf numFmtId="0" fontId="5" fillId="0" borderId="222" applyAlignment="1" pivotButton="0" quotePrefix="0" xfId="0">
      <alignment horizontal="left" vertical="center" wrapText="1"/>
    </xf>
    <xf numFmtId="0" fontId="5" fillId="0" borderId="144" applyAlignment="1" pivotButton="0" quotePrefix="0" xfId="0">
      <alignment horizontal="left" vertical="center" wrapText="1"/>
    </xf>
    <xf numFmtId="0" fontId="1" fillId="0" borderId="39" applyAlignment="1" pivotButton="0" quotePrefix="0" xfId="0">
      <alignment horizontal="left"/>
    </xf>
    <xf numFmtId="0" fontId="1" fillId="0" borderId="26" applyAlignment="1" pivotButton="0" quotePrefix="0" xfId="0">
      <alignment horizontal="center" wrapText="1"/>
    </xf>
    <xf numFmtId="0" fontId="1" fillId="0" borderId="39" applyAlignment="1" pivotButton="0" quotePrefix="0" xfId="0">
      <alignment horizontal="center" wrapText="1"/>
    </xf>
    <xf numFmtId="0" fontId="1" fillId="0" borderId="56" applyAlignment="1" pivotButton="0" quotePrefix="0" xfId="0">
      <alignment horizontal="center" wrapText="1"/>
    </xf>
    <xf numFmtId="0" fontId="1" fillId="0" borderId="0" applyAlignment="1" pivotButton="0" quotePrefix="0" xfId="0">
      <alignment horizontal="center" wrapText="1"/>
    </xf>
    <xf numFmtId="0" fontId="1" fillId="0" borderId="22" applyAlignment="1" pivotButton="0" quotePrefix="0" xfId="0">
      <alignment horizontal="center" wrapText="1"/>
    </xf>
    <xf numFmtId="0" fontId="0" fillId="0" borderId="141" applyAlignment="1" pivotButton="0" quotePrefix="0" xfId="0">
      <alignment horizontal="center" vertical="center" wrapText="1"/>
    </xf>
    <xf numFmtId="0" fontId="1" fillId="0" borderId="89" applyAlignment="1" pivotButton="0" quotePrefix="0" xfId="0">
      <alignment horizontal="center" vertical="center"/>
    </xf>
    <xf numFmtId="0" fontId="1" fillId="0" borderId="29" applyAlignment="1" pivotButton="0" quotePrefix="0" xfId="0">
      <alignment horizontal="center" vertical="center"/>
    </xf>
    <xf numFmtId="0" fontId="0" fillId="0" borderId="29" applyAlignment="1" pivotButton="0" quotePrefix="0" xfId="0">
      <alignment horizontal="center"/>
    </xf>
    <xf numFmtId="0" fontId="0" fillId="0" borderId="83" applyAlignment="1" pivotButton="0" quotePrefix="0" xfId="0">
      <alignment horizontal="center"/>
    </xf>
    <xf numFmtId="0" fontId="0" fillId="0" borderId="144" applyAlignment="1" pivotButton="0" quotePrefix="0" xfId="0">
      <alignment horizontal="right" vertical="center"/>
    </xf>
    <xf numFmtId="0" fontId="0" fillId="0" borderId="145" applyAlignment="1" pivotButton="0" quotePrefix="0" xfId="0">
      <alignment horizontal="right" vertical="center"/>
    </xf>
    <xf numFmtId="9" fontId="8" fillId="0" borderId="145" applyAlignment="1" applyProtection="1" pivotButton="0" quotePrefix="0" xfId="1">
      <alignment horizontal="center" vertical="center"/>
      <protection locked="0" hidden="0"/>
    </xf>
    <xf numFmtId="0" fontId="5" fillId="0" borderId="141" applyAlignment="1" pivotButton="0" quotePrefix="0" xfId="0">
      <alignment horizontal="left" vertical="center" wrapText="1"/>
    </xf>
    <xf numFmtId="9" fontId="8" fillId="0" borderId="141" applyAlignment="1" applyProtection="1" pivotButton="0" quotePrefix="0" xfId="1">
      <alignment horizontal="center" vertical="center"/>
      <protection locked="0" hidden="0"/>
    </xf>
    <xf numFmtId="9" fontId="8" fillId="0" borderId="141" applyAlignment="1" applyProtection="1" pivotButton="0" quotePrefix="0" xfId="1">
      <alignment horizontal="center" vertical="center"/>
      <protection locked="0" hidden="0"/>
    </xf>
    <xf numFmtId="9" fontId="8" fillId="0" borderId="137" applyAlignment="1" applyProtection="1" pivotButton="0" quotePrefix="0" xfId="1">
      <alignment horizontal="center" vertical="center"/>
      <protection locked="0" hidden="0"/>
    </xf>
    <xf numFmtId="0" fontId="0" fillId="0" borderId="140" applyAlignment="1" pivotButton="0" quotePrefix="0" xfId="0">
      <alignment horizontal="right" vertical="center"/>
    </xf>
    <xf numFmtId="0" fontId="0" fillId="0" borderId="141" applyAlignment="1" pivotButton="0" quotePrefix="0" xfId="0">
      <alignment horizontal="right" vertical="center"/>
    </xf>
    <xf numFmtId="0" fontId="5" fillId="0" borderId="137" applyAlignment="1" pivotButton="0" quotePrefix="0" xfId="0">
      <alignment horizontal="left" vertical="center" wrapText="1"/>
    </xf>
    <xf numFmtId="0" fontId="5" fillId="0" borderId="141" applyAlignment="1" pivotButton="0" quotePrefix="0" xfId="0">
      <alignment horizontal="left" vertical="center"/>
    </xf>
    <xf numFmtId="0" fontId="8" fillId="0" borderId="105" applyAlignment="1" applyProtection="1" pivotButton="0" quotePrefix="0" xfId="0">
      <alignment horizontal="center" vertical="center"/>
      <protection locked="0" hidden="0"/>
    </xf>
    <xf numFmtId="0" fontId="8" fillId="0" borderId="102" applyAlignment="1" applyProtection="1" pivotButton="0" quotePrefix="0" xfId="0">
      <alignment horizontal="center" vertical="center"/>
      <protection locked="0" hidden="0"/>
    </xf>
    <xf numFmtId="0" fontId="8" fillId="0" borderId="115" applyAlignment="1" applyProtection="1" pivotButton="0" quotePrefix="0" xfId="0">
      <alignment horizontal="center" vertical="center"/>
      <protection locked="0" hidden="0"/>
    </xf>
    <xf numFmtId="0" fontId="8" fillId="0" borderId="116" applyAlignment="1" applyProtection="1" pivotButton="0" quotePrefix="0" xfId="0">
      <alignment horizontal="center" vertical="center"/>
      <protection locked="0" hidden="0"/>
    </xf>
    <xf numFmtId="0" fontId="8" fillId="0" borderId="95" applyAlignment="1" applyProtection="1" pivotButton="0" quotePrefix="0" xfId="0">
      <alignment horizontal="center" vertical="center"/>
      <protection locked="0" hidden="0"/>
    </xf>
    <xf numFmtId="0" fontId="8" fillId="0" borderId="117" applyAlignment="1" applyProtection="1" pivotButton="0" quotePrefix="0" xfId="0">
      <alignment horizontal="center" vertical="center"/>
      <protection locked="0" hidden="0"/>
    </xf>
    <xf numFmtId="0" fontId="0" fillId="0" borderId="104" applyAlignment="1" pivotButton="0" quotePrefix="0" xfId="0">
      <alignment horizontal="center" vertical="center"/>
    </xf>
    <xf numFmtId="0" fontId="0" fillId="0" borderId="96" applyAlignment="1" pivotButton="0" quotePrefix="0" xfId="0">
      <alignment horizontal="center" vertical="center"/>
    </xf>
    <xf numFmtId="0" fontId="0" fillId="0" borderId="127" applyAlignment="1" pivotButton="0" quotePrefix="0" xfId="0">
      <alignment horizontal="center" vertical="center"/>
    </xf>
    <xf numFmtId="0" fontId="0" fillId="0" borderId="128" applyAlignment="1" pivotButton="0" quotePrefix="0" xfId="0">
      <alignment horizontal="center" vertical="center"/>
    </xf>
    <xf numFmtId="0" fontId="0" fillId="0" borderId="97" applyAlignment="1" pivotButton="0" quotePrefix="0" xfId="0">
      <alignment horizontal="center" vertical="center"/>
    </xf>
    <xf numFmtId="0" fontId="0" fillId="0" borderId="98" applyAlignment="1" pivotButton="0" quotePrefix="0" xfId="0">
      <alignment horizontal="center" vertical="center"/>
    </xf>
    <xf numFmtId="0" fontId="0" fillId="0" borderId="123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124" applyAlignment="1" pivotButton="0" quotePrefix="0" xfId="0">
      <alignment horizontal="center"/>
    </xf>
    <xf numFmtId="0" fontId="1" fillId="2" borderId="76" applyAlignment="1" pivotButton="0" quotePrefix="0" xfId="0">
      <alignment horizontal="right" vertical="center"/>
    </xf>
    <xf numFmtId="0" fontId="1" fillId="2" borderId="77" applyAlignment="1" pivotButton="0" quotePrefix="0" xfId="0">
      <alignment horizontal="right" vertical="center"/>
    </xf>
    <xf numFmtId="0" fontId="8" fillId="0" borderId="77" applyAlignment="1" pivotButton="0" quotePrefix="0" xfId="0">
      <alignment horizontal="left"/>
    </xf>
    <xf numFmtId="0" fontId="8" fillId="0" borderId="78" applyAlignment="1" pivotButton="0" quotePrefix="0" xfId="0">
      <alignment horizontal="left"/>
    </xf>
    <xf numFmtId="0" fontId="8" fillId="0" borderId="77" applyAlignment="1" applyProtection="1" pivotButton="0" quotePrefix="0" xfId="0">
      <alignment horizontal="left"/>
      <protection locked="0" hidden="0"/>
    </xf>
    <xf numFmtId="0" fontId="8" fillId="0" borderId="78" applyAlignment="1" applyProtection="1" pivotButton="0" quotePrefix="0" xfId="0">
      <alignment horizontal="left"/>
      <protection locked="0" hidden="0"/>
    </xf>
    <xf numFmtId="0" fontId="0" fillId="0" borderId="150" applyAlignment="1" pivotButton="0" quotePrefix="0" xfId="0">
      <alignment horizontal="center" vertical="center"/>
    </xf>
    <xf numFmtId="0" fontId="0" fillId="0" borderId="151" applyAlignment="1" pivotButton="0" quotePrefix="0" xfId="0">
      <alignment horizontal="center" vertical="center"/>
    </xf>
    <xf numFmtId="0" fontId="0" fillId="0" borderId="153" applyAlignment="1" pivotButton="0" quotePrefix="0" xfId="0">
      <alignment horizontal="center" vertical="center"/>
    </xf>
    <xf numFmtId="0" fontId="0" fillId="0" borderId="154" applyAlignment="1" pivotButton="0" quotePrefix="0" xfId="0">
      <alignment horizontal="center" vertical="center"/>
    </xf>
    <xf numFmtId="0" fontId="0" fillId="0" borderId="148" applyAlignment="1" pivotButton="0" quotePrefix="0" xfId="0">
      <alignment horizontal="center" vertical="center"/>
    </xf>
    <xf numFmtId="0" fontId="8" fillId="0" borderId="150" applyAlignment="1" applyProtection="1" pivotButton="0" quotePrefix="0" xfId="0">
      <alignment horizontal="center" vertical="center"/>
      <protection locked="0" hidden="0"/>
    </xf>
    <xf numFmtId="0" fontId="8" fillId="0" borderId="151" applyAlignment="1" applyProtection="1" pivotButton="0" quotePrefix="0" xfId="0">
      <alignment horizontal="center" vertical="center"/>
      <protection locked="0" hidden="0"/>
    </xf>
    <xf numFmtId="0" fontId="8" fillId="0" borderId="153" applyAlignment="1" applyProtection="1" pivotButton="0" quotePrefix="0" xfId="0">
      <alignment horizontal="center" vertical="center"/>
      <protection locked="0" hidden="0"/>
    </xf>
    <xf numFmtId="0" fontId="1" fillId="0" borderId="93" applyAlignment="1" pivotButton="0" quotePrefix="0" xfId="0">
      <alignment horizontal="left"/>
    </xf>
    <xf numFmtId="0" fontId="1" fillId="0" borderId="94" applyAlignment="1" pivotButton="0" quotePrefix="0" xfId="0">
      <alignment horizontal="left"/>
    </xf>
    <xf numFmtId="0" fontId="1" fillId="0" borderId="109" applyAlignment="1" pivotButton="0" quotePrefix="0" xfId="0">
      <alignment horizontal="left"/>
    </xf>
    <xf numFmtId="0" fontId="1" fillId="0" borderId="92" applyAlignment="1" pivotButton="0" quotePrefix="0" xfId="0">
      <alignment horizontal="center"/>
    </xf>
    <xf numFmtId="0" fontId="8" fillId="0" borderId="107" applyAlignment="1" applyProtection="1" pivotButton="0" quotePrefix="0" xfId="0">
      <alignment horizontal="center" vertical="center"/>
      <protection locked="0" hidden="0"/>
    </xf>
    <xf numFmtId="0" fontId="8" fillId="0" borderId="41" applyAlignment="1" applyProtection="1" pivotButton="0" quotePrefix="0" xfId="0">
      <alignment horizontal="center" vertical="center"/>
      <protection locked="0" hidden="0"/>
    </xf>
    <xf numFmtId="0" fontId="8" fillId="0" borderId="108" applyAlignment="1" applyProtection="1" pivotButton="0" quotePrefix="0" xfId="0">
      <alignment horizontal="center" vertical="center"/>
      <protection locked="0" hidden="0"/>
    </xf>
    <xf numFmtId="0" fontId="8" fillId="0" borderId="127" applyAlignment="1" applyProtection="1" pivotButton="0" quotePrefix="0" xfId="0">
      <alignment horizontal="center" vertical="center"/>
      <protection locked="0" hidden="0"/>
    </xf>
    <xf numFmtId="0" fontId="8" fillId="0" borderId="128" applyAlignment="1" applyProtection="1" pivotButton="0" quotePrefix="0" xfId="0">
      <alignment horizontal="center" vertical="center"/>
      <protection locked="0" hidden="0"/>
    </xf>
    <xf numFmtId="0" fontId="8" fillId="0" borderId="130" applyAlignment="1" applyProtection="1" pivotButton="0" quotePrefix="0" xfId="0">
      <alignment horizontal="center" vertical="center"/>
      <protection locked="0" hidden="0"/>
    </xf>
    <xf numFmtId="0" fontId="8" fillId="0" borderId="77" applyAlignment="1" pivotButton="0" quotePrefix="0" xfId="0">
      <alignment horizontal="center"/>
    </xf>
    <xf numFmtId="0" fontId="8" fillId="0" borderId="78" applyAlignment="1" pivotButton="0" quotePrefix="0" xfId="0">
      <alignment horizontal="center"/>
    </xf>
    <xf numFmtId="0" fontId="1" fillId="0" borderId="106" applyAlignment="1" pivotButton="0" quotePrefix="0" xfId="0">
      <alignment horizontal="center"/>
    </xf>
    <xf numFmtId="0" fontId="1" fillId="0" borderId="123" applyAlignment="1" pivotButton="0" quotePrefix="0" xfId="0">
      <alignment horizontal="center"/>
    </xf>
    <xf numFmtId="0" fontId="1" fillId="0" borderId="124" applyAlignment="1" pivotButton="0" quotePrefix="0" xfId="0">
      <alignment horizontal="center"/>
    </xf>
    <xf numFmtId="0" fontId="1" fillId="0" borderId="91" applyAlignment="1" pivotButton="0" quotePrefix="0" xfId="0">
      <alignment horizontal="center" vertical="center"/>
    </xf>
    <xf numFmtId="0" fontId="1" fillId="0" borderId="86" applyAlignment="1" pivotButton="0" quotePrefix="0" xfId="0">
      <alignment horizontal="center" vertical="center"/>
    </xf>
    <xf numFmtId="0" fontId="0" fillId="0" borderId="86" applyAlignment="1" pivotButton="0" quotePrefix="0" xfId="0">
      <alignment horizontal="center"/>
    </xf>
    <xf numFmtId="0" fontId="0" fillId="0" borderId="87" applyAlignment="1" pivotButton="0" quotePrefix="0" xfId="0">
      <alignment horizontal="center"/>
    </xf>
    <xf numFmtId="0" fontId="1" fillId="0" borderId="88" applyAlignment="1" pivotButton="0" quotePrefix="0" xfId="0">
      <alignment horizontal="center" vertical="top" textRotation="90"/>
    </xf>
    <xf numFmtId="0" fontId="1" fillId="0" borderId="124" applyAlignment="1" pivotButton="0" quotePrefix="0" xfId="0">
      <alignment horizontal="center" vertical="top" textRotation="90"/>
    </xf>
    <xf numFmtId="0" fontId="0" fillId="0" borderId="116" applyAlignment="1" pivotButton="0" quotePrefix="0" xfId="0">
      <alignment horizontal="center" vertical="center"/>
    </xf>
    <xf numFmtId="0" fontId="0" fillId="0" borderId="117" applyAlignment="1" pivotButton="0" quotePrefix="0" xfId="0">
      <alignment horizontal="center" vertical="center"/>
    </xf>
    <xf numFmtId="0" fontId="0" fillId="0" borderId="131" applyAlignment="1" pivotButton="0" quotePrefix="0" xfId="0">
      <alignment horizontal="center" vertical="center"/>
    </xf>
    <xf numFmtId="0" fontId="0" fillId="0" borderId="132" applyAlignment="1" pivotButton="0" quotePrefix="0" xfId="0">
      <alignment horizontal="center" vertical="center"/>
    </xf>
    <xf numFmtId="0" fontId="1" fillId="0" borderId="126" applyAlignment="1" pivotButton="0" quotePrefix="0" xfId="0">
      <alignment horizontal="center" vertical="top" textRotation="90"/>
    </xf>
    <xf numFmtId="0" fontId="1" fillId="0" borderId="125" applyAlignment="1" pivotButton="0" quotePrefix="0" xfId="0">
      <alignment horizontal="center" vertical="top" textRotation="90"/>
    </xf>
    <xf numFmtId="12" fontId="8" fillId="0" borderId="89" applyAlignment="1" applyProtection="1" pivotButton="0" quotePrefix="0" xfId="0">
      <alignment horizontal="center" vertical="center" wrapText="1"/>
      <protection locked="0" hidden="0"/>
    </xf>
    <xf numFmtId="0" fontId="8" fillId="0" borderId="29" applyAlignment="1" applyProtection="1" pivotButton="0" quotePrefix="0" xfId="0">
      <alignment horizontal="center" vertical="center"/>
      <protection locked="0" hidden="0"/>
    </xf>
    <xf numFmtId="0" fontId="8" fillId="0" borderId="30" applyAlignment="1" applyProtection="1" pivotButton="0" quotePrefix="0" xfId="0">
      <alignment horizontal="center" vertical="center"/>
      <protection locked="0" hidden="0"/>
    </xf>
    <xf numFmtId="0" fontId="0" fillId="0" borderId="13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0" fillId="0" borderId="95" applyAlignment="1" pivotButton="0" quotePrefix="0" xfId="0">
      <alignment horizontal="left" vertical="center" wrapText="1"/>
    </xf>
    <xf numFmtId="16" fontId="8" fillId="0" borderId="127" applyAlignment="1" applyProtection="1" pivotButton="0" quotePrefix="0" xfId="0">
      <alignment horizontal="center" vertical="center"/>
      <protection locked="0" hidden="0"/>
    </xf>
    <xf numFmtId="0" fontId="8" fillId="0" borderId="129" applyAlignment="1" applyProtection="1" pivotButton="0" quotePrefix="0" xfId="0">
      <alignment horizontal="center" vertical="center"/>
      <protection locked="0" hidden="0"/>
    </xf>
    <xf numFmtId="16" fontId="8" fillId="0" borderId="105" applyAlignment="1" applyProtection="1" pivotButton="0" quotePrefix="0" xfId="0">
      <alignment horizontal="center" vertical="center"/>
      <protection locked="0" hidden="0"/>
    </xf>
    <xf numFmtId="0" fontId="8" fillId="0" borderId="103" applyAlignment="1" applyProtection="1" pivotButton="0" quotePrefix="0" xfId="0">
      <alignment horizontal="center" vertical="center"/>
      <protection locked="0" hidden="0"/>
    </xf>
    <xf numFmtId="0" fontId="8" fillId="0" borderId="119" applyAlignment="1" applyProtection="1" pivotButton="0" quotePrefix="0" xfId="0">
      <alignment horizontal="center" vertical="center"/>
      <protection locked="0" hidden="0"/>
    </xf>
    <xf numFmtId="0" fontId="8" fillId="0" borderId="98" applyAlignment="1" applyProtection="1" pivotButton="0" quotePrefix="0" xfId="0">
      <alignment horizontal="center" vertical="center"/>
      <protection locked="0" hidden="0"/>
    </xf>
    <xf numFmtId="0" fontId="8" fillId="0" borderId="96" applyAlignment="1" applyProtection="1" pivotButton="0" quotePrefix="0" xfId="0">
      <alignment horizontal="center" vertical="center"/>
      <protection locked="0" hidden="0"/>
    </xf>
    <xf numFmtId="0" fontId="8" fillId="0" borderId="118" applyAlignment="1" applyProtection="1" pivotButton="0" quotePrefix="0" xfId="0">
      <alignment horizontal="center" vertical="center"/>
      <protection locked="0" hidden="0"/>
    </xf>
    <xf numFmtId="0" fontId="0" fillId="0" borderId="41" applyAlignment="1" pivotButton="0" quotePrefix="0" xfId="0">
      <alignment horizontal="left" vertical="center" wrapText="1"/>
    </xf>
    <xf numFmtId="0" fontId="0" fillId="0" borderId="49" applyAlignment="1" pivotButton="0" quotePrefix="0" xfId="0">
      <alignment horizontal="left" vertical="center" wrapText="1"/>
    </xf>
    <xf numFmtId="0" fontId="0" fillId="0" borderId="102" applyAlignment="1" pivotButton="0" quotePrefix="0" xfId="0">
      <alignment horizontal="left" vertical="center"/>
    </xf>
    <xf numFmtId="0" fontId="0" fillId="0" borderId="220" applyAlignment="1" pivotButton="0" quotePrefix="0" xfId="0">
      <alignment horizontal="left" vertical="center"/>
    </xf>
    <xf numFmtId="0" fontId="0" fillId="0" borderId="155" applyAlignment="1" pivotButton="0" quotePrefix="0" xfId="0">
      <alignment horizontal="left" vertical="center" wrapText="1"/>
    </xf>
    <xf numFmtId="0" fontId="0" fillId="0" borderId="149" applyAlignment="1" pivotButton="0" quotePrefix="0" xfId="0">
      <alignment horizontal="left" vertical="center" wrapText="1"/>
    </xf>
    <xf numFmtId="0" fontId="0" fillId="0" borderId="148" applyAlignment="1" pivotButton="0" quotePrefix="0" xfId="0">
      <alignment horizontal="left" vertical="center" wrapText="1"/>
    </xf>
    <xf numFmtId="0" fontId="8" fillId="0" borderId="152" applyAlignment="1" applyProtection="1" pivotButton="0" quotePrefix="0" xfId="0">
      <alignment horizontal="center" vertical="center"/>
      <protection locked="0" hidden="0"/>
    </xf>
    <xf numFmtId="0" fontId="0" fillId="0" borderId="194" applyAlignment="1" pivotButton="0" quotePrefix="0" xfId="0">
      <alignment horizontal="left" vertical="center"/>
    </xf>
    <xf numFmtId="0" fontId="0" fillId="0" borderId="147" applyAlignment="1" pivotButton="0" quotePrefix="0" xfId="0">
      <alignment horizontal="left" vertical="center"/>
    </xf>
    <xf numFmtId="0" fontId="12" fillId="0" borderId="107" applyAlignment="1" applyProtection="1" pivotButton="0" quotePrefix="0" xfId="0">
      <alignment horizontal="center" vertical="center" wrapText="1"/>
      <protection locked="0" hidden="0"/>
    </xf>
    <xf numFmtId="0" fontId="12" fillId="0" borderId="41" applyAlignment="1" applyProtection="1" pivotButton="0" quotePrefix="0" xfId="0">
      <alignment horizontal="center" vertical="center" wrapText="1"/>
      <protection locked="0" hidden="0"/>
    </xf>
    <xf numFmtId="0" fontId="12" fillId="0" borderId="108" applyAlignment="1" applyProtection="1" pivotButton="0" quotePrefix="0" xfId="0">
      <alignment horizontal="center" vertical="center" wrapText="1"/>
      <protection locked="0" hidden="0"/>
    </xf>
    <xf numFmtId="0" fontId="8" fillId="0" borderId="114" applyAlignment="1" applyProtection="1" pivotButton="0" quotePrefix="0" xfId="0">
      <alignment horizontal="center" vertical="center"/>
      <protection locked="0" hidden="0"/>
    </xf>
    <xf numFmtId="0" fontId="0" fillId="0" borderId="61" applyAlignment="1" pivotButton="0" quotePrefix="0" xfId="0">
      <alignment horizontal="center" vertical="center"/>
    </xf>
    <xf numFmtId="0" fontId="0" fillId="0" borderId="100" applyAlignment="1" pivotButton="0" quotePrefix="0" xfId="0">
      <alignment horizontal="center" vertical="center"/>
    </xf>
    <xf numFmtId="0" fontId="8" fillId="0" borderId="110" applyAlignment="1" applyProtection="1" pivotButton="0" quotePrefix="0" xfId="0">
      <alignment horizontal="center" vertical="center"/>
      <protection locked="0" hidden="0"/>
    </xf>
    <xf numFmtId="0" fontId="8" fillId="0" borderId="99" applyAlignment="1" applyProtection="1" pivotButton="0" quotePrefix="0" xfId="0">
      <alignment horizontal="center" vertical="center"/>
      <protection locked="0" hidden="0"/>
    </xf>
    <xf numFmtId="0" fontId="8" fillId="0" borderId="111" applyAlignment="1" applyProtection="1" pivotButton="0" quotePrefix="0" xfId="0">
      <alignment horizontal="center" vertical="center"/>
      <protection locked="0" hidden="0"/>
    </xf>
    <xf numFmtId="0" fontId="0" fillId="0" borderId="110" applyAlignment="1" pivotButton="0" quotePrefix="0" xfId="0">
      <alignment horizontal="center" vertical="center"/>
    </xf>
    <xf numFmtId="0" fontId="0" fillId="0" borderId="111" applyAlignment="1" pivotButton="0" quotePrefix="0" xfId="0">
      <alignment horizontal="center" vertical="center"/>
    </xf>
    <xf numFmtId="0" fontId="0" fillId="0" borderId="193" applyAlignment="1" pivotButton="0" quotePrefix="0" xfId="0">
      <alignment horizontal="center"/>
    </xf>
    <xf numFmtId="0" fontId="8" fillId="0" borderId="89" applyAlignment="1" applyProtection="1" pivotButton="0" quotePrefix="0" xfId="0">
      <alignment horizontal="center" vertical="center" wrapText="1"/>
      <protection locked="0" hidden="0"/>
    </xf>
    <xf numFmtId="0" fontId="8" fillId="0" borderId="29" applyAlignment="1" applyProtection="1" pivotButton="0" quotePrefix="0" xfId="0">
      <alignment horizontal="center" vertical="center" wrapText="1"/>
      <protection locked="0" hidden="0"/>
    </xf>
    <xf numFmtId="0" fontId="8" fillId="0" borderId="30" applyAlignment="1" applyProtection="1" pivotButton="0" quotePrefix="0" xfId="0">
      <alignment horizontal="center" vertical="center" wrapText="1"/>
      <protection locked="0" hidden="0"/>
    </xf>
    <xf numFmtId="0" fontId="8" fillId="0" borderId="89" applyAlignment="1" applyProtection="1" pivotButton="0" quotePrefix="0" xfId="0">
      <alignment horizontal="center" vertical="center"/>
      <protection locked="0" hidden="0"/>
    </xf>
    <xf numFmtId="0" fontId="1" fillId="0" borderId="56" applyAlignment="1" pivotButton="0" quotePrefix="0" xfId="0">
      <alignment horizontal="right"/>
    </xf>
    <xf numFmtId="0" fontId="1" fillId="0" borderId="0" applyAlignment="1" pivotButton="0" quotePrefix="0" xfId="0">
      <alignment horizontal="right"/>
    </xf>
    <xf numFmtId="0" fontId="1" fillId="0" borderId="22" applyAlignment="1" pivotButton="0" quotePrefix="0" xfId="0">
      <alignment horizontal="right"/>
    </xf>
    <xf numFmtId="0" fontId="9" fillId="0" borderId="89" applyAlignment="1" pivotButton="0" quotePrefix="0" xfId="0">
      <alignment horizontal="center" vertical="center"/>
    </xf>
    <xf numFmtId="0" fontId="9" fillId="0" borderId="29" applyAlignment="1" pivotButton="0" quotePrefix="0" xfId="0">
      <alignment horizontal="center" vertical="center"/>
    </xf>
    <xf numFmtId="0" fontId="8" fillId="0" borderId="101" applyAlignment="1" applyProtection="1" pivotButton="0" quotePrefix="0" xfId="0">
      <alignment horizontal="center" vertical="center"/>
      <protection locked="0" hidden="0"/>
    </xf>
    <xf numFmtId="0" fontId="8" fillId="0" borderId="61" applyAlignment="1" applyProtection="1" pivotButton="0" quotePrefix="0" xfId="0">
      <alignment horizontal="center" vertical="center"/>
      <protection locked="0" hidden="0"/>
    </xf>
    <xf numFmtId="0" fontId="8" fillId="0" borderId="62" applyAlignment="1" applyProtection="1" pivotButton="0" quotePrefix="0" xfId="0">
      <alignment horizontal="center" vertical="center"/>
      <protection locked="0" hidden="0"/>
    </xf>
    <xf numFmtId="0" fontId="0" fillId="0" borderId="101" applyAlignment="1" pivotButton="0" quotePrefix="0" xfId="0">
      <alignment horizontal="center" vertical="center"/>
    </xf>
    <xf numFmtId="0" fontId="0" fillId="0" borderId="99" applyAlignment="1" pivotButton="0" quotePrefix="0" xfId="0">
      <alignment horizontal="left" vertical="center"/>
    </xf>
    <xf numFmtId="0" fontId="1" fillId="0" borderId="126" applyAlignment="1" pivotButton="0" quotePrefix="0" xfId="0">
      <alignment horizontal="center" vertical="top" textRotation="90" wrapText="1"/>
    </xf>
    <xf numFmtId="0" fontId="1" fillId="0" borderId="124" applyAlignment="1" pivotButton="0" quotePrefix="0" xfId="0">
      <alignment horizontal="center" vertical="top" textRotation="90" wrapText="1"/>
    </xf>
    <xf numFmtId="0" fontId="1" fillId="0" borderId="125" applyAlignment="1" pivotButton="0" quotePrefix="0" xfId="0">
      <alignment horizontal="center" vertical="top" textRotation="90" wrapText="1"/>
    </xf>
    <xf numFmtId="0" fontId="0" fillId="0" borderId="114" applyAlignment="1" pivotButton="0" quotePrefix="0" xfId="0">
      <alignment horizontal="left" vertical="center"/>
    </xf>
    <xf numFmtId="9" fontId="8" fillId="0" borderId="89" applyAlignment="1" applyProtection="1" pivotButton="0" quotePrefix="0" xfId="1">
      <alignment horizontal="center" vertical="center" wrapText="1"/>
      <protection locked="0" hidden="0"/>
    </xf>
    <xf numFmtId="0" fontId="8" fillId="0" borderId="29" applyAlignment="1" applyProtection="1" pivotButton="0" quotePrefix="0" xfId="1">
      <alignment horizontal="center" vertical="center" wrapText="1"/>
      <protection locked="0" hidden="0"/>
    </xf>
    <xf numFmtId="0" fontId="8" fillId="0" borderId="30" applyAlignment="1" applyProtection="1" pivotButton="0" quotePrefix="0" xfId="1">
      <alignment horizontal="center" vertical="center" wrapText="1"/>
      <protection locked="0" hidden="0"/>
    </xf>
    <xf numFmtId="0" fontId="1" fillId="0" borderId="90" applyAlignment="1" pivotButton="0" quotePrefix="0" xfId="0">
      <alignment horizontal="center" vertical="center"/>
    </xf>
    <xf numFmtId="0" fontId="1" fillId="0" borderId="32" applyAlignment="1" pivotButton="0" quotePrefix="0" xfId="0">
      <alignment horizontal="center" vertical="center"/>
    </xf>
    <xf numFmtId="0" fontId="0" fillId="0" borderId="32" applyAlignment="1" pivotButton="0" quotePrefix="0" xfId="0">
      <alignment horizontal="center"/>
    </xf>
    <xf numFmtId="0" fontId="0" fillId="0" borderId="84" applyAlignment="1" pivotButton="0" quotePrefix="0" xfId="0">
      <alignment horizontal="center"/>
    </xf>
    <xf numFmtId="0" fontId="0" fillId="0" borderId="30" applyAlignment="1" pivotButton="0" quotePrefix="0" xfId="0">
      <alignment horizontal="center"/>
    </xf>
    <xf numFmtId="0" fontId="0" fillId="0" borderId="41" applyAlignment="1" pivotButton="0" quotePrefix="0" xfId="0">
      <alignment horizontal="center"/>
    </xf>
    <xf numFmtId="0" fontId="0" fillId="0" borderId="48" applyAlignment="1" pivotButton="0" quotePrefix="0" xfId="0">
      <alignment horizontal="center"/>
    </xf>
    <xf numFmtId="0" fontId="0" fillId="0" borderId="52" applyAlignment="1" pivotButton="0" quotePrefix="0" xfId="0">
      <alignment horizontal="center"/>
    </xf>
    <xf numFmtId="0" fontId="0" fillId="0" borderId="36" applyAlignment="1" pivotButton="0" quotePrefix="0" xfId="0">
      <alignment horizontal="center"/>
    </xf>
    <xf numFmtId="0" fontId="0" fillId="0" borderId="74" applyAlignment="1" pivotButton="0" quotePrefix="0" xfId="0">
      <alignment horizontal="center"/>
    </xf>
    <xf numFmtId="0" fontId="0" fillId="0" borderId="42" applyAlignment="1" pivotButton="0" quotePrefix="0" xfId="0">
      <alignment horizontal="center"/>
    </xf>
    <xf numFmtId="0" fontId="0" fillId="0" borderId="37" applyAlignment="1" pivotButton="0" quotePrefix="0" xfId="0">
      <alignment horizontal="center"/>
    </xf>
    <xf numFmtId="0" fontId="0" fillId="0" borderId="38" applyAlignment="1" pivotButton="0" quotePrefix="0" xfId="0">
      <alignment horizontal="center"/>
    </xf>
    <xf numFmtId="0" fontId="0" fillId="0" borderId="69" applyAlignment="1" pivotButton="0" quotePrefix="0" xfId="0">
      <alignment horizontal="center"/>
    </xf>
    <xf numFmtId="0" fontId="0" fillId="0" borderId="73" applyAlignment="1" pivotButton="0" quotePrefix="0" xfId="0">
      <alignment horizontal="center"/>
    </xf>
    <xf numFmtId="0" fontId="0" fillId="0" borderId="31" applyAlignment="1" pivotButton="0" quotePrefix="0" xfId="0">
      <alignment horizontal="center"/>
    </xf>
    <xf numFmtId="0" fontId="0" fillId="0" borderId="63" applyAlignment="1" pivotButton="0" quotePrefix="0" xfId="0">
      <alignment horizontal="center"/>
    </xf>
    <xf numFmtId="0" fontId="0" fillId="0" borderId="64" applyAlignment="1" pivotButton="0" quotePrefix="0" xfId="0">
      <alignment horizontal="center"/>
    </xf>
    <xf numFmtId="0" fontId="0" fillId="0" borderId="35" applyAlignment="1" pivotButton="0" quotePrefix="0" xfId="0">
      <alignment horizontal="center"/>
    </xf>
    <xf numFmtId="0" fontId="0" fillId="0" borderId="58" applyAlignment="1" pivotButton="0" quotePrefix="0" xfId="0">
      <alignment horizontal="center"/>
    </xf>
    <xf numFmtId="0" fontId="0" fillId="0" borderId="70" applyAlignment="1" pivotButton="0" quotePrefix="0" xfId="0">
      <alignment horizontal="center"/>
    </xf>
    <xf numFmtId="0" fontId="0" fillId="0" borderId="51" applyAlignment="1" pivotButton="0" quotePrefix="0" xfId="0">
      <alignment horizontal="center"/>
    </xf>
    <xf numFmtId="0" fontId="0" fillId="0" borderId="33" applyAlignment="1" pivotButton="0" quotePrefix="0" xfId="0">
      <alignment horizontal="center"/>
    </xf>
    <xf numFmtId="0" fontId="0" fillId="0" borderId="75" applyAlignment="1" pivotButton="0" quotePrefix="0" xfId="0">
      <alignment horizontal="center"/>
    </xf>
    <xf numFmtId="0" fontId="0" fillId="0" borderId="34" applyAlignment="1" pivotButton="0" quotePrefix="0" xfId="0">
      <alignment horizontal="center"/>
    </xf>
    <xf numFmtId="0" fontId="0" fillId="0" borderId="65" applyAlignment="1" pivotButton="0" quotePrefix="0" xfId="0">
      <alignment horizontal="center"/>
    </xf>
    <xf numFmtId="0" fontId="1" fillId="0" borderId="66" applyAlignment="1" pivotButton="0" quotePrefix="0" xfId="0">
      <alignment horizontal="center"/>
    </xf>
    <xf numFmtId="0" fontId="1" fillId="0" borderId="17" applyAlignment="1" pivotButton="0" quotePrefix="0" xfId="0">
      <alignment horizontal="center"/>
    </xf>
    <xf numFmtId="0" fontId="1" fillId="0" borderId="20" applyAlignment="1" pivotButton="0" quotePrefix="0" xfId="0">
      <alignment horizontal="center"/>
    </xf>
    <xf numFmtId="0" fontId="1" fillId="0" borderId="122" applyAlignment="1" pivotButton="0" quotePrefix="0" xfId="0">
      <alignment horizontal="center"/>
    </xf>
    <xf numFmtId="0" fontId="0" fillId="0" borderId="72" applyAlignment="1" pivotButton="0" quotePrefix="0" xfId="0">
      <alignment horizontal="center"/>
    </xf>
    <xf numFmtId="0" fontId="0" fillId="0" borderId="45" applyAlignment="1" pivotButton="0" quotePrefix="0" xfId="0">
      <alignment horizontal="center"/>
    </xf>
    <xf numFmtId="0" fontId="0" fillId="0" borderId="67" applyAlignment="1" pivotButton="0" quotePrefix="0" xfId="0">
      <alignment horizontal="center"/>
    </xf>
    <xf numFmtId="0" fontId="0" fillId="0" borderId="55" applyAlignment="1" pivotButton="0" quotePrefix="0" xfId="0">
      <alignment horizontal="center"/>
    </xf>
    <xf numFmtId="0" fontId="0" fillId="0" borderId="46" applyAlignment="1" pivotButton="0" quotePrefix="0" xfId="0">
      <alignment horizontal="center"/>
    </xf>
    <xf numFmtId="0" fontId="0" fillId="0" borderId="54" applyAlignment="1" pivotButton="0" quotePrefix="0" xfId="0">
      <alignment horizontal="center"/>
    </xf>
    <xf numFmtId="0" fontId="1" fillId="0" borderId="121" applyAlignment="1" pivotButton="0" quotePrefix="0" xfId="0">
      <alignment horizontal="center"/>
    </xf>
    <xf numFmtId="0" fontId="1" fillId="0" borderId="11" applyAlignment="1" pivotButton="0" quotePrefix="0" xfId="0">
      <alignment horizontal="center"/>
    </xf>
    <xf numFmtId="0" fontId="0" fillId="0" borderId="10" applyAlignment="1" pivotButton="0" quotePrefix="0" xfId="0">
      <alignment horizontal="center" vertical="center"/>
    </xf>
    <xf numFmtId="0" fontId="1" fillId="0" borderId="10" applyAlignment="1" pivotButton="0" quotePrefix="0" xfId="0">
      <alignment horizontal="right" vertical="center"/>
    </xf>
    <xf numFmtId="0" fontId="3" fillId="0" borderId="15" applyAlignment="1" pivotButton="0" quotePrefix="0" xfId="0">
      <alignment horizontal="center" vertical="top" textRotation="90"/>
    </xf>
    <xf numFmtId="0" fontId="3" fillId="0" borderId="19" applyAlignment="1" pivotButton="0" quotePrefix="0" xfId="0">
      <alignment horizontal="center" vertical="top" textRotation="90"/>
    </xf>
    <xf numFmtId="0" fontId="3" fillId="0" borderId="120" applyAlignment="1" pivotButton="0" quotePrefix="0" xfId="0">
      <alignment horizontal="center" vertical="top" textRotation="90"/>
    </xf>
    <xf numFmtId="0" fontId="3" fillId="0" borderId="24" applyAlignment="1" pivotButton="0" quotePrefix="0" xfId="0">
      <alignment horizontal="center" vertical="top" textRotation="90"/>
    </xf>
    <xf numFmtId="0" fontId="3" fillId="0" borderId="21" applyAlignment="1" pivotButton="0" quotePrefix="0" xfId="0">
      <alignment horizontal="center" vertical="top" textRotation="90"/>
    </xf>
    <xf numFmtId="0" fontId="8" fillId="0" borderId="77" applyAlignment="1" applyProtection="1" pivotButton="0" quotePrefix="0" xfId="0">
      <alignment horizontal="center"/>
      <protection locked="0" hidden="0"/>
    </xf>
    <xf numFmtId="0" fontId="8" fillId="0" borderId="78" applyAlignment="1" applyProtection="1" pivotButton="0" quotePrefix="0" xfId="0">
      <alignment horizontal="center"/>
      <protection locked="0" hidden="0"/>
    </xf>
    <xf numFmtId="0" fontId="11" fillId="0" borderId="77" applyAlignment="1" applyProtection="1" pivotButton="0" quotePrefix="0" xfId="0">
      <alignment horizontal="center"/>
      <protection locked="0" hidden="0"/>
    </xf>
    <xf numFmtId="0" fontId="11" fillId="0" borderId="78" applyAlignment="1" applyProtection="1" pivotButton="0" quotePrefix="0" xfId="0">
      <alignment horizontal="center"/>
      <protection locked="0" hidden="0"/>
    </xf>
    <xf numFmtId="0" fontId="0" fillId="0" borderId="53" applyAlignment="1" pivotButton="0" quotePrefix="0" xfId="0">
      <alignment horizontal="center"/>
    </xf>
    <xf numFmtId="0" fontId="0" fillId="0" borderId="71" applyAlignment="1" pivotButton="0" quotePrefix="0" xfId="0">
      <alignment horizontal="center"/>
    </xf>
    <xf numFmtId="0" fontId="1" fillId="0" borderId="82" applyAlignment="1" pivotButton="0" quotePrefix="0" xfId="0">
      <alignment horizontal="center"/>
    </xf>
    <xf numFmtId="0" fontId="1" fillId="0" borderId="44" applyAlignment="1" pivotButton="0" quotePrefix="0" xfId="0">
      <alignment horizontal="center"/>
    </xf>
    <xf numFmtId="0" fontId="0" fillId="0" borderId="47" applyAlignment="1" pivotButton="0" quotePrefix="0" xfId="0">
      <alignment horizontal="left" vertical="top"/>
    </xf>
    <xf numFmtId="0" fontId="0" fillId="0" borderId="41" applyAlignment="1" pivotButton="0" quotePrefix="0" xfId="0">
      <alignment horizontal="left" vertical="top"/>
    </xf>
    <xf numFmtId="0" fontId="0" fillId="0" borderId="48" applyAlignment="1" pivotButton="0" quotePrefix="0" xfId="0">
      <alignment horizontal="left" vertical="top"/>
    </xf>
    <xf numFmtId="0" fontId="0" fillId="0" borderId="59" applyAlignment="1" pivotButton="0" quotePrefix="0" xfId="0">
      <alignment horizontal="left" vertical="top"/>
    </xf>
    <xf numFmtId="0" fontId="0" fillId="0" borderId="42" applyAlignment="1" pivotButton="0" quotePrefix="0" xfId="0">
      <alignment horizontal="left" vertical="top"/>
    </xf>
    <xf numFmtId="0" fontId="0" fillId="0" borderId="69" applyAlignment="1" pivotButton="0" quotePrefix="0" xfId="0">
      <alignment horizontal="left" vertical="top"/>
    </xf>
    <xf numFmtId="0" fontId="1" fillId="0" borderId="10" applyAlignment="1" pivotButton="0" quotePrefix="0" xfId="0">
      <alignment horizontal="right"/>
    </xf>
    <xf numFmtId="0" fontId="0" fillId="0" borderId="13" applyAlignment="1" pivotButton="0" quotePrefix="0" xfId="0">
      <alignment horizontal="center"/>
    </xf>
    <xf numFmtId="0" fontId="0" fillId="0" borderId="15" applyAlignment="1" pivotButton="0" quotePrefix="0" xfId="0">
      <alignment horizontal="center"/>
    </xf>
    <xf numFmtId="0" fontId="0" fillId="0" borderId="19" applyAlignment="1" pivotButton="0" quotePrefix="0" xfId="0">
      <alignment horizontal="center"/>
    </xf>
    <xf numFmtId="0" fontId="0" fillId="0" borderId="50" applyAlignment="1" pivotButton="0" quotePrefix="0" xfId="0">
      <alignment horizontal="left" vertical="top"/>
    </xf>
    <xf numFmtId="0" fontId="0" fillId="0" borderId="45" applyAlignment="1" pivotButton="0" quotePrefix="0" xfId="0">
      <alignment horizontal="left" vertical="top"/>
    </xf>
    <xf numFmtId="0" fontId="0" fillId="0" borderId="46" applyAlignment="1" pivotButton="0" quotePrefix="0" xfId="0">
      <alignment horizontal="left" vertical="top"/>
    </xf>
    <xf numFmtId="0" fontId="1" fillId="0" borderId="22" applyAlignment="1" pivotButton="0" quotePrefix="0" xfId="0">
      <alignment horizontal="left"/>
    </xf>
    <xf numFmtId="0" fontId="1" fillId="0" borderId="23" applyAlignment="1" pivotButton="0" quotePrefix="0" xfId="0">
      <alignment horizontal="right"/>
    </xf>
    <xf numFmtId="0" fontId="1" fillId="0" borderId="17" applyAlignment="1" pivotButton="0" quotePrefix="0" xfId="0">
      <alignment horizontal="right"/>
    </xf>
    <xf numFmtId="0" fontId="1" fillId="0" borderId="20" applyAlignment="1" pivotButton="0" quotePrefix="0" xfId="0">
      <alignment horizontal="right"/>
    </xf>
    <xf numFmtId="0" fontId="0" fillId="0" borderId="47" applyAlignment="1" pivotButton="0" quotePrefix="0" xfId="0">
      <alignment horizontal="left" vertical="top" wrapText="1"/>
    </xf>
    <xf numFmtId="0" fontId="0" fillId="0" borderId="41" applyAlignment="1" pivotButton="0" quotePrefix="0" xfId="0">
      <alignment horizontal="left" vertical="top" wrapText="1"/>
    </xf>
    <xf numFmtId="0" fontId="0" fillId="0" borderId="48" applyAlignment="1" pivotButton="0" quotePrefix="0" xfId="0">
      <alignment horizontal="left" vertical="top" wrapText="1"/>
    </xf>
    <xf numFmtId="0" fontId="0" fillId="0" borderId="60" applyAlignment="1" pivotButton="0" quotePrefix="0" xfId="0">
      <alignment horizontal="left" vertical="top" wrapText="1"/>
    </xf>
    <xf numFmtId="0" fontId="0" fillId="0" borderId="58" applyAlignment="1" pivotButton="0" quotePrefix="0" xfId="0">
      <alignment horizontal="left" vertical="top" wrapText="1"/>
    </xf>
    <xf numFmtId="0" fontId="0" fillId="0" borderId="70" applyAlignment="1" pivotButton="0" quotePrefix="0" xfId="0">
      <alignment horizontal="left" vertical="top" wrapText="1"/>
    </xf>
    <xf numFmtId="0" fontId="1" fillId="0" borderId="133" applyAlignment="1" pivotButton="0" quotePrefix="0" xfId="0">
      <alignment horizontal="center"/>
    </xf>
    <xf numFmtId="0" fontId="1" fillId="0" borderId="23" applyAlignment="1" pivotButton="0" quotePrefix="0" xfId="0">
      <alignment horizontal="center"/>
    </xf>
    <xf numFmtId="0" fontId="1" fillId="0" borderId="134" applyAlignment="1" pivotButton="0" quotePrefix="0" xfId="0">
      <alignment horizontal="center"/>
    </xf>
    <xf numFmtId="0" fontId="0" fillId="0" borderId="68" applyAlignment="1" pivotButton="0" quotePrefix="0" xfId="0">
      <alignment horizontal="center"/>
    </xf>
    <xf numFmtId="0" fontId="1" fillId="0" borderId="12" applyAlignment="1" pivotButton="0" quotePrefix="0" xfId="0">
      <alignment horizontal="right" vertical="center"/>
    </xf>
    <xf numFmtId="0" fontId="0" fillId="0" borderId="12" applyAlignment="1" pivotButton="0" quotePrefix="0" xfId="0">
      <alignment horizontal="center" vertical="center"/>
    </xf>
    <xf numFmtId="0" fontId="0" fillId="0" borderId="166" applyAlignment="1" pivotButton="0" quotePrefix="0" xfId="0">
      <alignment horizontal="left" vertical="center"/>
    </xf>
    <xf numFmtId="0" fontId="0" fillId="0" borderId="167" applyAlignment="1" pivotButton="0" quotePrefix="0" xfId="0">
      <alignment horizontal="left" vertical="center"/>
    </xf>
    <xf numFmtId="0" fontId="0" fillId="0" borderId="167" applyAlignment="1" pivotButton="0" quotePrefix="0" xfId="0">
      <alignment horizontal="center"/>
    </xf>
    <xf numFmtId="0" fontId="0" fillId="0" borderId="179" applyAlignment="1" pivotButton="0" quotePrefix="0" xfId="0">
      <alignment horizontal="center"/>
    </xf>
    <xf numFmtId="0" fontId="0" fillId="0" borderId="191" applyAlignment="1" pivotButton="0" quotePrefix="0" xfId="0">
      <alignment horizontal="center"/>
    </xf>
    <xf numFmtId="0" fontId="0" fillId="0" borderId="185" applyAlignment="1" pivotButton="0" quotePrefix="0" xfId="0">
      <alignment horizontal="center"/>
    </xf>
    <xf numFmtId="0" fontId="0" fillId="0" borderId="182" applyAlignment="1" applyProtection="1" pivotButton="0" quotePrefix="0" xfId="0">
      <alignment horizontal="left" vertical="center"/>
      <protection locked="0" hidden="0"/>
    </xf>
    <xf numFmtId="0" fontId="0" fillId="0" borderId="167" applyAlignment="1" applyProtection="1" pivotButton="0" quotePrefix="0" xfId="0">
      <alignment horizontal="left" vertical="center"/>
      <protection locked="0" hidden="0"/>
    </xf>
    <xf numFmtId="0" fontId="0" fillId="0" borderId="168" applyAlignment="1" applyProtection="1" pivotButton="0" quotePrefix="0" xfId="0">
      <alignment horizontal="left" vertical="center"/>
      <protection locked="0" hidden="0"/>
    </xf>
    <xf numFmtId="0" fontId="8" fillId="0" borderId="172" applyAlignment="1" applyProtection="1" pivotButton="0" quotePrefix="0" xfId="0">
      <alignment horizontal="right"/>
      <protection locked="0" hidden="0"/>
    </xf>
    <xf numFmtId="0" fontId="8" fillId="0" borderId="0" applyAlignment="1" applyProtection="1" pivotButton="0" quotePrefix="0" xfId="0">
      <alignment horizontal="right"/>
      <protection locked="0" hidden="0"/>
    </xf>
    <xf numFmtId="0" fontId="8" fillId="0" borderId="174" applyAlignment="1" pivotButton="0" quotePrefix="0" xfId="0">
      <alignment horizontal="right"/>
    </xf>
    <xf numFmtId="0" fontId="8" fillId="0" borderId="175" applyAlignment="1" pivotButton="0" quotePrefix="0" xfId="0">
      <alignment horizontal="right"/>
    </xf>
    <xf numFmtId="0" fontId="0" fillId="0" borderId="163" applyAlignment="1" pivotButton="0" quotePrefix="0" xfId="0">
      <alignment horizontal="left" vertical="center"/>
    </xf>
    <xf numFmtId="0" fontId="0" fillId="0" borderId="164" applyAlignment="1" pivotButton="0" quotePrefix="0" xfId="0">
      <alignment horizontal="left" vertical="center"/>
    </xf>
    <xf numFmtId="0" fontId="8" fillId="0" borderId="164" applyAlignment="1" applyProtection="1" pivotButton="0" quotePrefix="0" xfId="0">
      <alignment vertical="center" wrapText="1"/>
      <protection locked="0" hidden="0"/>
    </xf>
    <xf numFmtId="0" fontId="8" fillId="0" borderId="164" applyAlignment="1" applyProtection="1" pivotButton="0" quotePrefix="0" xfId="0">
      <alignment vertical="center"/>
      <protection locked="0" hidden="0"/>
    </xf>
    <xf numFmtId="0" fontId="8" fillId="0" borderId="164" applyAlignment="1" applyProtection="1" pivotButton="0" quotePrefix="0" xfId="0">
      <alignment horizontal="left" vertical="center" wrapText="1"/>
      <protection locked="0" hidden="0"/>
    </xf>
    <xf numFmtId="0" fontId="0" fillId="0" borderId="0" applyAlignment="1" pivotButton="0" quotePrefix="0" xfId="0">
      <alignment horizontal="left"/>
    </xf>
    <xf numFmtId="0" fontId="0" fillId="0" borderId="173" applyAlignment="1" pivotButton="0" quotePrefix="0" xfId="0">
      <alignment horizontal="left"/>
    </xf>
    <xf numFmtId="0" fontId="0" fillId="0" borderId="170" applyAlignment="1" applyProtection="1" pivotButton="0" quotePrefix="0" xfId="0">
      <alignment horizontal="left" vertical="center"/>
      <protection locked="0" hidden="0"/>
    </xf>
    <xf numFmtId="0" fontId="0" fillId="0" borderId="171" applyAlignment="1" applyProtection="1" pivotButton="0" quotePrefix="0" xfId="0">
      <alignment horizontal="left" vertical="center"/>
      <protection locked="0" hidden="0"/>
    </xf>
    <xf numFmtId="0" fontId="0" fillId="0" borderId="175" applyAlignment="1" pivotButton="0" quotePrefix="0" xfId="0">
      <alignment horizontal="left"/>
    </xf>
    <xf numFmtId="0" fontId="0" fillId="0" borderId="176" applyAlignment="1" pivotButton="0" quotePrefix="0" xfId="0">
      <alignment horizontal="left"/>
    </xf>
    <xf numFmtId="0" fontId="0" fillId="0" borderId="190" applyAlignment="1" pivotButton="0" quotePrefix="0" xfId="0">
      <alignment horizontal="center" vertical="center" textRotation="90" wrapText="1"/>
    </xf>
    <xf numFmtId="0" fontId="0" fillId="0" borderId="181" applyAlignment="1" pivotButton="0" quotePrefix="0" xfId="0">
      <alignment horizontal="left" vertical="center" wrapText="1"/>
    </xf>
    <xf numFmtId="0" fontId="0" fillId="0" borderId="164" applyAlignment="1" pivotButton="0" quotePrefix="0" xfId="0">
      <alignment horizontal="left" vertical="center" wrapText="1"/>
    </xf>
    <xf numFmtId="3" fontId="8" fillId="0" borderId="169" applyAlignment="1" applyProtection="1" pivotButton="0" quotePrefix="0" xfId="0">
      <alignment horizontal="right" vertical="center"/>
      <protection locked="0" hidden="0"/>
    </xf>
    <xf numFmtId="3" fontId="8" fillId="0" borderId="170" applyAlignment="1" applyProtection="1" pivotButton="0" quotePrefix="0" xfId="0">
      <alignment horizontal="right" vertical="center"/>
      <protection locked="0" hidden="0"/>
    </xf>
    <xf numFmtId="0" fontId="0" fillId="0" borderId="188" applyAlignment="1" pivotButton="0" quotePrefix="0" xfId="0">
      <alignment horizontal="center"/>
    </xf>
    <xf numFmtId="0" fontId="0" fillId="0" borderId="161" applyAlignment="1" pivotButton="0" quotePrefix="0" xfId="0">
      <alignment horizontal="center"/>
    </xf>
    <xf numFmtId="0" fontId="0" fillId="0" borderId="189" applyAlignment="1" pivotButton="0" quotePrefix="0" xfId="0">
      <alignment horizontal="center"/>
    </xf>
    <xf numFmtId="0" fontId="0" fillId="0" borderId="164" applyAlignment="1" pivotButton="0" quotePrefix="0" xfId="0">
      <alignment horizontal="center"/>
    </xf>
    <xf numFmtId="0" fontId="0" fillId="0" borderId="181" applyAlignment="1" applyProtection="1" pivotButton="0" quotePrefix="0" xfId="0">
      <alignment horizontal="left" vertical="center"/>
      <protection locked="0" hidden="0"/>
    </xf>
    <xf numFmtId="0" fontId="0" fillId="0" borderId="164" applyAlignment="1" applyProtection="1" pivotButton="0" quotePrefix="0" xfId="0">
      <alignment horizontal="left" vertical="center"/>
      <protection locked="0" hidden="0"/>
    </xf>
    <xf numFmtId="0" fontId="0" fillId="0" borderId="165" applyAlignment="1" applyProtection="1" pivotButton="0" quotePrefix="0" xfId="0">
      <alignment horizontal="left" vertical="center"/>
      <protection locked="0" hidden="0"/>
    </xf>
    <xf numFmtId="0" fontId="0" fillId="0" borderId="183" applyAlignment="1" pivotButton="0" quotePrefix="0" xfId="0">
      <alignment horizontal="center"/>
    </xf>
    <xf numFmtId="0" fontId="0" fillId="0" borderId="184" applyAlignment="1" pivotButton="0" quotePrefix="0" xfId="0">
      <alignment horizontal="center"/>
    </xf>
    <xf numFmtId="0" fontId="0" fillId="0" borderId="180" applyAlignment="1" applyProtection="1" pivotButton="0" quotePrefix="0" xfId="0">
      <alignment horizontal="left" vertical="center"/>
      <protection locked="0" hidden="0"/>
    </xf>
    <xf numFmtId="0" fontId="0" fillId="0" borderId="161" applyAlignment="1" applyProtection="1" pivotButton="0" quotePrefix="0" xfId="0">
      <alignment horizontal="left" vertical="center"/>
      <protection locked="0" hidden="0"/>
    </xf>
    <xf numFmtId="0" fontId="0" fillId="0" borderId="162" applyAlignment="1" applyProtection="1" pivotButton="0" quotePrefix="0" xfId="0">
      <alignment horizontal="left" vertical="center"/>
      <protection locked="0" hidden="0"/>
    </xf>
    <xf numFmtId="0" fontId="0" fillId="0" borderId="178" applyAlignment="1" pivotButton="0" quotePrefix="0" xfId="0">
      <alignment horizontal="center"/>
    </xf>
    <xf numFmtId="0" fontId="0" fillId="0" borderId="177" applyAlignment="1" pivotButton="0" quotePrefix="0" xfId="0">
      <alignment horizontal="center"/>
    </xf>
    <xf numFmtId="0" fontId="0" fillId="0" borderId="160" applyAlignment="1" pivotButton="0" quotePrefix="0" xfId="0">
      <alignment horizontal="left" vertical="center" wrapText="1"/>
    </xf>
    <xf numFmtId="0" fontId="0" fillId="0" borderId="161" applyAlignment="1" pivotButton="0" quotePrefix="0" xfId="0">
      <alignment horizontal="left" vertical="center" wrapText="1"/>
    </xf>
    <xf numFmtId="0" fontId="0" fillId="0" borderId="163" applyAlignment="1" pivotButton="0" quotePrefix="0" xfId="0">
      <alignment horizontal="left" vertical="center" wrapText="1"/>
    </xf>
    <xf numFmtId="0" fontId="8" fillId="0" borderId="161" applyAlignment="1" applyProtection="1" pivotButton="0" quotePrefix="0" xfId="0">
      <alignment horizontal="left" vertical="center" wrapText="1"/>
      <protection locked="0" hidden="0"/>
    </xf>
    <xf numFmtId="0" fontId="1" fillId="0" borderId="199" applyAlignment="1" pivotButton="0" quotePrefix="0" xfId="0">
      <alignment horizontal="left" vertical="center"/>
    </xf>
    <xf numFmtId="0" fontId="1" fillId="0" borderId="200" applyAlignment="1" pivotButton="0" quotePrefix="0" xfId="0">
      <alignment horizontal="left" vertical="center"/>
    </xf>
    <xf numFmtId="0" fontId="1" fillId="0" borderId="202" applyAlignment="1" pivotButton="0" quotePrefix="0" xfId="0">
      <alignment horizontal="left" vertical="center"/>
    </xf>
    <xf numFmtId="0" fontId="1" fillId="0" borderId="199" applyAlignment="1" pivotButton="0" quotePrefix="0" xfId="0">
      <alignment horizontal="center" vertical="center"/>
    </xf>
    <xf numFmtId="0" fontId="1" fillId="0" borderId="200" applyAlignment="1" pivotButton="0" quotePrefix="0" xfId="0">
      <alignment horizontal="center" vertical="center"/>
    </xf>
    <xf numFmtId="0" fontId="1" fillId="0" borderId="201" applyAlignment="1" pivotButton="0" quotePrefix="0" xfId="0">
      <alignment horizontal="center" vertical="center"/>
    </xf>
    <xf numFmtId="0" fontId="13" fillId="0" borderId="77" applyAlignment="1" pivotButton="0" quotePrefix="0" xfId="0">
      <alignment horizontal="center"/>
    </xf>
    <xf numFmtId="0" fontId="13" fillId="0" borderId="78" applyAlignment="1" pivotButton="0" quotePrefix="0" xfId="0">
      <alignment horizontal="center"/>
    </xf>
    <xf numFmtId="0" fontId="1" fillId="2" borderId="76" applyAlignment="1" pivotButton="0" quotePrefix="0" xfId="0">
      <alignment horizontal="right"/>
    </xf>
    <xf numFmtId="0" fontId="1" fillId="2" borderId="77" applyAlignment="1" pivotButton="0" quotePrefix="0" xfId="0">
      <alignment horizontal="right"/>
    </xf>
    <xf numFmtId="0" fontId="1" fillId="0" borderId="159" applyAlignment="1" pivotButton="0" quotePrefix="0" xfId="0">
      <alignment horizontal="center"/>
    </xf>
    <xf numFmtId="0" fontId="1" fillId="0" borderId="156" applyAlignment="1" pivotButton="0" quotePrefix="0" xfId="0">
      <alignment horizontal="center"/>
    </xf>
    <xf numFmtId="0" fontId="1" fillId="0" borderId="157" applyAlignment="1" pivotButton="0" quotePrefix="0" xfId="0">
      <alignment horizontal="center"/>
    </xf>
    <xf numFmtId="0" fontId="1" fillId="0" borderId="17" applyAlignment="1" pivotButton="0" quotePrefix="0" xfId="0">
      <alignment horizontal="left"/>
    </xf>
    <xf numFmtId="0" fontId="1" fillId="0" borderId="20" applyAlignment="1" pivotButton="0" quotePrefix="0" xfId="0">
      <alignment horizontal="left"/>
    </xf>
    <xf numFmtId="0" fontId="1" fillId="0" borderId="17" applyAlignment="1" pivotButton="0" quotePrefix="0" xfId="0">
      <alignment horizontal="left" vertical="center"/>
    </xf>
    <xf numFmtId="0" fontId="1" fillId="0" borderId="20" applyAlignment="1" pivotButton="0" quotePrefix="0" xfId="0">
      <alignment horizontal="left" vertical="center"/>
    </xf>
    <xf numFmtId="0" fontId="1" fillId="0" borderId="158" applyAlignment="1" pivotButton="0" quotePrefix="0" xfId="0">
      <alignment horizontal="center"/>
    </xf>
    <xf numFmtId="0" fontId="0" fillId="0" borderId="209" applyAlignment="1" pivotButton="0" quotePrefix="0" xfId="0">
      <alignment horizontal="center"/>
    </xf>
    <xf numFmtId="0" fontId="0" fillId="0" borderId="211" applyAlignment="1" pivotButton="0" quotePrefix="0" xfId="0">
      <alignment horizontal="center"/>
    </xf>
    <xf numFmtId="0" fontId="0" fillId="0" borderId="212" applyAlignment="1" pivotButton="0" quotePrefix="0" xfId="0">
      <alignment horizontal="center"/>
    </xf>
    <xf numFmtId="0" fontId="0" fillId="0" borderId="218" applyAlignment="1" pivotButton="0" quotePrefix="0" xfId="0">
      <alignment horizontal="center"/>
    </xf>
    <xf numFmtId="0" fontId="0" fillId="0" borderId="211" applyAlignment="1" pivotButton="0" quotePrefix="0" xfId="0">
      <alignment horizontal="left" vertical="center"/>
    </xf>
    <xf numFmtId="0" fontId="0" fillId="0" borderId="212" applyAlignment="1" pivotButton="0" quotePrefix="0" xfId="0">
      <alignment horizontal="left" vertical="center"/>
    </xf>
    <xf numFmtId="0" fontId="0" fillId="0" borderId="203" applyAlignment="1" pivotButton="0" quotePrefix="0" xfId="0">
      <alignment horizontal="left" vertical="center"/>
    </xf>
    <xf numFmtId="0" fontId="0" fillId="0" borderId="217" applyAlignment="1" pivotButton="0" quotePrefix="0" xfId="0">
      <alignment horizontal="left" vertical="center"/>
    </xf>
    <xf numFmtId="0" fontId="0" fillId="0" borderId="207" applyAlignment="1" pivotButton="0" quotePrefix="0" xfId="0">
      <alignment horizontal="center"/>
    </xf>
    <xf numFmtId="0" fontId="0" fillId="0" borderId="219" applyAlignment="1" pivotButton="0" quotePrefix="0" xfId="0">
      <alignment horizontal="center"/>
    </xf>
    <xf numFmtId="0" fontId="0" fillId="0" borderId="199" applyAlignment="1" pivotButton="0" quotePrefix="0" xfId="0">
      <alignment horizontal="center"/>
    </xf>
    <xf numFmtId="0" fontId="0" fillId="0" borderId="200" applyAlignment="1" pivotButton="0" quotePrefix="0" xfId="0">
      <alignment horizontal="center"/>
    </xf>
    <xf numFmtId="0" fontId="0" fillId="0" borderId="201" applyAlignment="1" pivotButton="0" quotePrefix="0" xfId="0">
      <alignment horizontal="center"/>
    </xf>
    <xf numFmtId="0" fontId="0" fillId="0" borderId="204" applyAlignment="1" pivotButton="0" quotePrefix="0" xfId="0">
      <alignment horizontal="left" vertical="center"/>
    </xf>
    <xf numFmtId="0" fontId="0" fillId="0" borderId="29" applyAlignment="1" pivotButton="0" quotePrefix="0" xfId="0">
      <alignment horizontal="left" vertical="center"/>
    </xf>
    <xf numFmtId="0" fontId="0" fillId="0" borderId="30" applyAlignment="1" pivotButton="0" quotePrefix="0" xfId="0">
      <alignment horizontal="left" vertical="center"/>
    </xf>
    <xf numFmtId="0" fontId="0" fillId="0" borderId="213" applyAlignment="1" pivotButton="0" quotePrefix="0" xfId="0">
      <alignment horizontal="left" vertical="center"/>
    </xf>
    <xf numFmtId="0" fontId="0" fillId="0" borderId="214" applyAlignment="1" pivotButton="0" quotePrefix="0" xfId="0">
      <alignment horizontal="left" vertical="center"/>
    </xf>
    <xf numFmtId="0" fontId="0" fillId="0" borderId="49" applyAlignment="1" pivotButton="0" quotePrefix="0" xfId="0">
      <alignment horizontal="left" vertical="center"/>
    </xf>
    <xf numFmtId="0" fontId="0" fillId="0" borderId="207" applyAlignment="1" pivotButton="0" quotePrefix="0" xfId="0">
      <alignment horizontal="left" vertical="center"/>
    </xf>
    <xf numFmtId="0" fontId="0" fillId="0" borderId="204" applyAlignment="1" pivotButton="0" quotePrefix="0" xfId="0">
      <alignment horizontal="center"/>
    </xf>
    <xf numFmtId="0" fontId="0" fillId="0" borderId="205" applyAlignment="1" pivotButton="0" quotePrefix="0" xfId="0">
      <alignment horizontal="center"/>
    </xf>
    <xf numFmtId="0" fontId="1" fillId="0" borderId="7" applyAlignment="1" pivotButton="0" quotePrefix="0" xfId="0">
      <alignment horizontal="right" vertical="top" textRotation="90"/>
    </xf>
    <xf numFmtId="0" fontId="0" fillId="0" borderId="77" pivotButton="0" quotePrefix="0" xfId="0"/>
    <xf numFmtId="0" fontId="0" fillId="0" borderId="77" applyProtection="1" pivotButton="0" quotePrefix="0" xfId="0">
      <protection locked="0" hidden="0"/>
    </xf>
    <xf numFmtId="0" fontId="0" fillId="0" borderId="78" applyProtection="1" pivotButton="0" quotePrefix="0" xfId="0">
      <protection locked="0" hidden="0"/>
    </xf>
    <xf numFmtId="0" fontId="1" fillId="0" borderId="121" applyAlignment="1" pivotButton="0" quotePrefix="0" xfId="0">
      <alignment horizontal="left"/>
    </xf>
    <xf numFmtId="0" fontId="1" fillId="0" borderId="230" applyAlignment="1" pivotButton="0" quotePrefix="0" xfId="0">
      <alignment horizontal="center"/>
    </xf>
    <xf numFmtId="0" fontId="0" fillId="0" borderId="133" pivotButton="0" quotePrefix="0" xfId="0"/>
    <xf numFmtId="0" fontId="1" fillId="0" borderId="240" applyAlignment="1" pivotButton="0" quotePrefix="0" xfId="0">
      <alignment horizontal="center"/>
    </xf>
    <xf numFmtId="0" fontId="1" fillId="0" borderId="11" applyAlignment="1" pivotButton="0" quotePrefix="0" xfId="0">
      <alignment horizontal="right"/>
    </xf>
    <xf numFmtId="0" fontId="0" fillId="0" borderId="17" pivotButton="0" quotePrefix="0" xfId="0"/>
    <xf numFmtId="0" fontId="0" fillId="0" borderId="23" pivotButton="0" quotePrefix="0" xfId="0"/>
    <xf numFmtId="0" fontId="1" fillId="0" borderId="231" applyAlignment="1" pivotButton="0" quotePrefix="0" xfId="0">
      <alignment horizontal="center"/>
    </xf>
    <xf numFmtId="0" fontId="0" fillId="0" borderId="134" pivotButton="0" quotePrefix="0" xfId="0"/>
    <xf numFmtId="0" fontId="1" fillId="0" borderId="238" applyAlignment="1" pivotButton="0" quotePrefix="0" xfId="0">
      <alignment horizontal="center"/>
    </xf>
    <xf numFmtId="0" fontId="0" fillId="0" borderId="44" pivotButton="0" quotePrefix="0" xfId="0"/>
    <xf numFmtId="0" fontId="1" fillId="0" borderId="239" applyAlignment="1" pivotButton="0" quotePrefix="0" xfId="0">
      <alignment horizontal="center"/>
    </xf>
    <xf numFmtId="0" fontId="0" fillId="0" borderId="223" applyAlignment="1" pivotButton="0" quotePrefix="0" xfId="0">
      <alignment horizontal="left" vertical="top"/>
    </xf>
    <xf numFmtId="0" fontId="0" fillId="0" borderId="45" pivotButton="0" quotePrefix="0" xfId="0"/>
    <xf numFmtId="0" fontId="0" fillId="0" borderId="46" pivotButton="0" quotePrefix="0" xfId="0"/>
    <xf numFmtId="0" fontId="0" fillId="0" borderId="67" pivotButton="0" quotePrefix="0" xfId="0"/>
    <xf numFmtId="0" fontId="0" fillId="0" borderId="232" applyAlignment="1" pivotButton="0" quotePrefix="0" xfId="0">
      <alignment horizontal="center"/>
    </xf>
    <xf numFmtId="0" fontId="0" fillId="0" borderId="68" pivotButton="0" quotePrefix="0" xfId="0"/>
    <xf numFmtId="0" fontId="0" fillId="0" borderId="241" applyAlignment="1" pivotButton="0" quotePrefix="0" xfId="0">
      <alignment horizontal="center"/>
    </xf>
    <xf numFmtId="0" fontId="0" fillId="0" borderId="242" applyAlignment="1" pivotButton="0" quotePrefix="0" xfId="0">
      <alignment horizontal="center"/>
    </xf>
    <xf numFmtId="0" fontId="0" fillId="0" borderId="224" applyAlignment="1" pivotButton="0" quotePrefix="0" xfId="0">
      <alignment horizontal="left" vertical="top"/>
    </xf>
    <xf numFmtId="0" fontId="0" fillId="0" borderId="48" pivotButton="0" quotePrefix="0" xfId="0"/>
    <xf numFmtId="0" fontId="0" fillId="0" borderId="31" pivotButton="0" quotePrefix="0" xfId="0"/>
    <xf numFmtId="0" fontId="0" fillId="0" borderId="234" applyAlignment="1" pivotButton="0" quotePrefix="0" xfId="0">
      <alignment horizontal="center"/>
    </xf>
    <xf numFmtId="0" fontId="0" fillId="0" borderId="63" pivotButton="0" quotePrefix="0" xfId="0"/>
    <xf numFmtId="0" fontId="0" fillId="0" borderId="244" applyAlignment="1" pivotButton="0" quotePrefix="0" xfId="0">
      <alignment horizontal="center"/>
    </xf>
    <xf numFmtId="0" fontId="0" fillId="0" borderId="243" applyAlignment="1" pivotButton="0" quotePrefix="0" xfId="0">
      <alignment horizontal="center"/>
    </xf>
    <xf numFmtId="0" fontId="0" fillId="0" borderId="224" applyAlignment="1" pivotButton="0" quotePrefix="0" xfId="0">
      <alignment horizontal="left" vertical="top" wrapText="1"/>
    </xf>
    <xf numFmtId="0" fontId="0" fillId="0" borderId="226" applyAlignment="1" pivotButton="0" quotePrefix="0" xfId="0">
      <alignment horizontal="left" vertical="top"/>
    </xf>
    <xf numFmtId="0" fontId="0" fillId="0" borderId="42" pivotButton="0" quotePrefix="0" xfId="0"/>
    <xf numFmtId="0" fontId="0" fillId="0" borderId="69" pivotButton="0" quotePrefix="0" xfId="0"/>
    <xf numFmtId="0" fontId="0" fillId="0" borderId="37" pivotButton="0" quotePrefix="0" xfId="0"/>
    <xf numFmtId="0" fontId="0" fillId="0" borderId="247" applyAlignment="1" pivotButton="0" quotePrefix="0" xfId="0">
      <alignment horizontal="center"/>
    </xf>
    <xf numFmtId="0" fontId="0" fillId="0" borderId="64" pivotButton="0" quotePrefix="0" xfId="0"/>
    <xf numFmtId="0" fontId="0" fillId="0" borderId="245" applyAlignment="1" pivotButton="0" quotePrefix="0" xfId="0">
      <alignment horizontal="center"/>
    </xf>
    <xf numFmtId="0" fontId="0" fillId="0" borderId="246" applyAlignment="1" pivotButton="0" quotePrefix="0" xfId="0">
      <alignment horizontal="center"/>
    </xf>
    <xf numFmtId="0" fontId="0" fillId="0" borderId="227" applyAlignment="1" pivotButton="0" quotePrefix="0" xfId="0">
      <alignment horizontal="left" vertical="top" wrapText="1"/>
    </xf>
    <xf numFmtId="0" fontId="0" fillId="0" borderId="58" pivotButton="0" quotePrefix="0" xfId="0"/>
    <xf numFmtId="0" fontId="0" fillId="0" borderId="70" pivotButton="0" quotePrefix="0" xfId="0"/>
    <xf numFmtId="0" fontId="0" fillId="0" borderId="34" pivotButton="0" quotePrefix="0" xfId="0"/>
    <xf numFmtId="0" fontId="0" fillId="0" borderId="250" applyAlignment="1" pivotButton="0" quotePrefix="0" xfId="0">
      <alignment horizontal="center"/>
    </xf>
    <xf numFmtId="0" fontId="0" fillId="0" borderId="65" pivotButton="0" quotePrefix="0" xfId="0"/>
    <xf numFmtId="0" fontId="0" fillId="0" borderId="249" applyAlignment="1" pivotButton="0" quotePrefix="0" xfId="0">
      <alignment horizontal="center"/>
    </xf>
    <xf numFmtId="0" fontId="0" fillId="0" borderId="248" applyAlignment="1" pivotButton="0" quotePrefix="0" xfId="0">
      <alignment horizontal="center"/>
    </xf>
    <xf numFmtId="0" fontId="0" fillId="0" borderId="15" pivotButton="0" quotePrefix="0" xfId="0"/>
    <xf numFmtId="0" fontId="0" fillId="0" borderId="19" pivotButton="0" quotePrefix="0" xfId="0"/>
    <xf numFmtId="0" fontId="0" fillId="0" borderId="10" applyAlignment="1" pivotButton="0" quotePrefix="0" xfId="0">
      <alignment horizontal="center"/>
    </xf>
    <xf numFmtId="0" fontId="0" fillId="0" borderId="78" pivotButton="0" quotePrefix="0" xfId="0"/>
    <xf numFmtId="0" fontId="0" fillId="0" borderId="124" pivotButton="0" quotePrefix="0" xfId="0"/>
    <xf numFmtId="0" fontId="0" fillId="0" borderId="106" applyAlignment="1" pivotButton="0" quotePrefix="0" xfId="0">
      <alignment horizontal="center"/>
    </xf>
    <xf numFmtId="0" fontId="0" fillId="0" borderId="94" pivotButton="0" quotePrefix="0" xfId="0"/>
    <xf numFmtId="0" fontId="0" fillId="0" borderId="109" pivotButton="0" quotePrefix="0" xfId="0"/>
    <xf numFmtId="0" fontId="1" fillId="0" borderId="92" applyAlignment="1" pivotButton="0" quotePrefix="0" xfId="0">
      <alignment horizontal="left"/>
    </xf>
    <xf numFmtId="0" fontId="0" fillId="0" borderId="95" pivotButton="0" quotePrefix="0" xfId="0"/>
    <xf numFmtId="0" fontId="0" fillId="0" borderId="263" pivotButton="0" quotePrefix="0" xfId="0"/>
    <xf numFmtId="0" fontId="0" fillId="0" borderId="271" applyAlignment="1" pivotButton="0" quotePrefix="0" xfId="0">
      <alignment horizontal="center" vertical="center"/>
    </xf>
    <xf numFmtId="0" fontId="0" fillId="0" borderId="117" pivotButton="0" quotePrefix="0" xfId="0"/>
    <xf numFmtId="0" fontId="8" fillId="0" borderId="271" applyAlignment="1" applyProtection="1" pivotButton="0" quotePrefix="0" xfId="0">
      <alignment horizontal="center" vertical="center"/>
      <protection locked="0" hidden="0"/>
    </xf>
    <xf numFmtId="0" fontId="0" fillId="0" borderId="95" applyProtection="1" pivotButton="0" quotePrefix="0" xfId="0">
      <protection locked="0" hidden="0"/>
    </xf>
    <xf numFmtId="0" fontId="0" fillId="0" borderId="117" applyProtection="1" pivotButton="0" quotePrefix="0" xfId="0">
      <protection locked="0" hidden="0"/>
    </xf>
    <xf numFmtId="0" fontId="0" fillId="0" borderId="263" applyProtection="1" pivotButton="0" quotePrefix="0" xfId="0">
      <protection locked="0" hidden="0"/>
    </xf>
    <xf numFmtId="0" fontId="0" fillId="0" borderId="186" applyAlignment="1" pivotButton="0" quotePrefix="0" xfId="0">
      <alignment horizontal="center" vertical="center"/>
    </xf>
    <xf numFmtId="0" fontId="0" fillId="0" borderId="108" pivotButton="0" quotePrefix="0" xfId="0"/>
    <xf numFmtId="0" fontId="8" fillId="0" borderId="186" applyAlignment="1" applyProtection="1" pivotButton="0" quotePrefix="0" xfId="0">
      <alignment horizontal="center" vertical="center"/>
      <protection locked="0" hidden="0"/>
    </xf>
    <xf numFmtId="0" fontId="0" fillId="0" borderId="41" applyProtection="1" pivotButton="0" quotePrefix="0" xfId="0">
      <protection locked="0" hidden="0"/>
    </xf>
    <xf numFmtId="0" fontId="0" fillId="0" borderId="108" applyProtection="1" pivotButton="0" quotePrefix="0" xfId="0">
      <protection locked="0" hidden="0"/>
    </xf>
    <xf numFmtId="0" fontId="0" fillId="0" borderId="49" pivotButton="0" quotePrefix="0" xfId="0"/>
    <xf numFmtId="0" fontId="0" fillId="0" borderId="49" applyProtection="1" pivotButton="0" quotePrefix="0" xfId="0">
      <protection locked="0" hidden="0"/>
    </xf>
    <xf numFmtId="0" fontId="0" fillId="0" borderId="229" applyProtection="1" pivotButton="0" quotePrefix="0" xfId="0">
      <protection locked="0" hidden="0"/>
    </xf>
    <xf numFmtId="0" fontId="0" fillId="0" borderId="229" pivotButton="0" quotePrefix="0" xfId="0"/>
    <xf numFmtId="0" fontId="0" fillId="0" borderId="272" applyAlignment="1" pivotButton="0" quotePrefix="0" xfId="0">
      <alignment horizontal="center" vertical="center"/>
    </xf>
    <xf numFmtId="0" fontId="0" fillId="0" borderId="132" pivotButton="0" quotePrefix="0" xfId="0"/>
    <xf numFmtId="0" fontId="0" fillId="0" borderId="266" applyAlignment="1" pivotButton="0" quotePrefix="0" xfId="0">
      <alignment horizontal="left" vertical="center" wrapText="1"/>
    </xf>
    <xf numFmtId="0" fontId="0" fillId="0" borderId="149" pivotButton="0" quotePrefix="0" xfId="0"/>
    <xf numFmtId="0" fontId="0" fillId="0" borderId="148" pivotButton="0" quotePrefix="0" xfId="0"/>
    <xf numFmtId="0" fontId="0" fillId="0" borderId="149" applyProtection="1" pivotButton="0" quotePrefix="0" xfId="0">
      <protection locked="0" hidden="0"/>
    </xf>
    <xf numFmtId="0" fontId="0" fillId="0" borderId="269" applyProtection="1" pivotButton="0" quotePrefix="0" xfId="0">
      <protection locked="0" hidden="0"/>
    </xf>
    <xf numFmtId="0" fontId="0" fillId="0" borderId="269" pivotButton="0" quotePrefix="0" xfId="0"/>
    <xf numFmtId="0" fontId="0" fillId="0" borderId="273" applyAlignment="1" pivotButton="0" quotePrefix="0" xfId="0">
      <alignment horizontal="center" vertical="center"/>
    </xf>
    <xf numFmtId="0" fontId="1" fillId="0" borderId="256" applyAlignment="1" pivotButton="0" quotePrefix="0" xfId="0">
      <alignment horizontal="center" vertical="top" textRotation="90"/>
    </xf>
    <xf numFmtId="0" fontId="0" fillId="0" borderId="102" pivotButton="0" quotePrefix="0" xfId="0"/>
    <xf numFmtId="0" fontId="0" fillId="0" borderId="102" applyProtection="1" pivotButton="0" quotePrefix="0" xfId="0">
      <protection locked="0" hidden="0"/>
    </xf>
    <xf numFmtId="0" fontId="0" fillId="0" borderId="255" applyProtection="1" pivotButton="0" quotePrefix="0" xfId="0">
      <protection locked="0" hidden="0"/>
    </xf>
    <xf numFmtId="0" fontId="0" fillId="0" borderId="255" pivotButton="0" quotePrefix="0" xfId="0"/>
    <xf numFmtId="0" fontId="0" fillId="0" borderId="259" applyAlignment="1" pivotButton="0" quotePrefix="0" xfId="0">
      <alignment horizontal="center" vertical="center"/>
    </xf>
    <xf numFmtId="0" fontId="0" fillId="0" borderId="115" pivotButton="0" quotePrefix="0" xfId="0"/>
    <xf numFmtId="0" fontId="0" fillId="0" borderId="264" applyAlignment="1" pivotButton="0" quotePrefix="0" xfId="0">
      <alignment horizontal="left" vertical="center"/>
    </xf>
    <xf numFmtId="0" fontId="0" fillId="0" borderId="220" pivotButton="0" quotePrefix="0" xfId="0"/>
    <xf numFmtId="0" fontId="0" fillId="0" borderId="31" applyProtection="1" pivotButton="0" quotePrefix="0" xfId="0">
      <protection locked="0" hidden="0"/>
    </xf>
    <xf numFmtId="0" fontId="12" fillId="0" borderId="186" applyAlignment="1" applyProtection="1" pivotButton="0" quotePrefix="0" xfId="0">
      <alignment horizontal="center" vertical="center"/>
      <protection locked="0" hidden="0"/>
    </xf>
    <xf numFmtId="0" fontId="12" fillId="0" borderId="186" applyAlignment="1" applyProtection="1" pivotButton="0" quotePrefix="0" xfId="0">
      <alignment horizontal="center" vertical="center" wrapText="1"/>
      <protection locked="0" hidden="0"/>
    </xf>
    <xf numFmtId="0" fontId="0" fillId="0" borderId="125" pivotButton="0" quotePrefix="0" xfId="0"/>
    <xf numFmtId="0" fontId="0" fillId="0" borderId="99" pivotButton="0" quotePrefix="0" xfId="0"/>
    <xf numFmtId="0" fontId="0" fillId="0" borderId="99" applyProtection="1" pivotButton="0" quotePrefix="0" xfId="0">
      <protection locked="0" hidden="0"/>
    </xf>
    <xf numFmtId="0" fontId="0" fillId="0" borderId="253" applyProtection="1" pivotButton="0" quotePrefix="0" xfId="0">
      <protection locked="0" hidden="0"/>
    </xf>
    <xf numFmtId="0" fontId="0" fillId="0" borderId="253" pivotButton="0" quotePrefix="0" xfId="0"/>
    <xf numFmtId="0" fontId="0" fillId="0" borderId="260" applyAlignment="1" pivotButton="0" quotePrefix="0" xfId="0">
      <alignment horizontal="center" vertical="center"/>
    </xf>
    <xf numFmtId="0" fontId="0" fillId="0" borderId="111" pivotButton="0" quotePrefix="0" xfId="0"/>
    <xf numFmtId="0" fontId="8" fillId="0" borderId="260" applyAlignment="1" applyProtection="1" pivotButton="0" quotePrefix="0" xfId="0">
      <alignment horizontal="center" vertical="center"/>
      <protection locked="0" hidden="0"/>
    </xf>
    <xf numFmtId="0" fontId="0" fillId="0" borderId="111" applyProtection="1" pivotButton="0" quotePrefix="0" xfId="0">
      <protection locked="0" hidden="0"/>
    </xf>
    <xf numFmtId="0" fontId="1" fillId="0" borderId="256" applyAlignment="1" pivotButton="0" quotePrefix="0" xfId="0">
      <alignment horizontal="center" vertical="top" textRotation="90" wrapText="1"/>
    </xf>
    <xf numFmtId="0" fontId="8" fillId="0" borderId="259" applyAlignment="1" applyProtection="1" pivotButton="0" quotePrefix="0" xfId="0">
      <alignment horizontal="center" vertical="center"/>
      <protection locked="0" hidden="0"/>
    </xf>
    <xf numFmtId="0" fontId="0" fillId="0" borderId="115" applyProtection="1" pivotButton="0" quotePrefix="0" xfId="0">
      <protection locked="0" hidden="0"/>
    </xf>
    <xf numFmtId="0" fontId="8" fillId="0" borderId="186" applyAlignment="1" applyProtection="1" pivotButton="0" quotePrefix="0" xfId="0">
      <alignment horizontal="center" vertical="center" wrapText="1"/>
      <protection locked="0" hidden="0"/>
    </xf>
    <xf numFmtId="0" fontId="0" fillId="0" borderId="147" pivotButton="0" quotePrefix="0" xfId="0"/>
    <xf numFmtId="0" fontId="0" fillId="0" borderId="147" applyProtection="1" pivotButton="0" quotePrefix="0" xfId="0">
      <protection locked="0" hidden="0"/>
    </xf>
    <xf numFmtId="0" fontId="0" fillId="0" borderId="279" applyProtection="1" pivotButton="0" quotePrefix="0" xfId="0">
      <protection locked="0" hidden="0"/>
    </xf>
    <xf numFmtId="0" fontId="0" fillId="0" borderId="279" pivotButton="0" quotePrefix="0" xfId="0"/>
    <xf numFmtId="0" fontId="0" fillId="0" borderId="280" applyAlignment="1" pivotButton="0" quotePrefix="0" xfId="0">
      <alignment horizontal="center" vertical="center"/>
    </xf>
    <xf numFmtId="0" fontId="8" fillId="0" borderId="280" applyAlignment="1" applyProtection="1" pivotButton="0" quotePrefix="0" xfId="0">
      <alignment horizontal="center" vertical="center"/>
      <protection locked="0" hidden="0"/>
    </xf>
    <xf numFmtId="0" fontId="0" fillId="0" borderId="125" applyProtection="1" pivotButton="0" quotePrefix="0" xfId="0">
      <protection locked="0" hidden="0"/>
    </xf>
    <xf numFmtId="0" fontId="0" fillId="0" borderId="9" pivotButton="0" quotePrefix="0" xfId="0"/>
    <xf numFmtId="0" fontId="0" fillId="0" borderId="258" pivotButton="0" quotePrefix="0" xfId="0"/>
    <xf numFmtId="0" fontId="0" fillId="0" borderId="261" pivotButton="0" quotePrefix="0" xfId="0"/>
    <xf numFmtId="0" fontId="0" fillId="0" borderId="192" pivotButton="0" quotePrefix="0" xfId="0"/>
    <xf numFmtId="0" fontId="0" fillId="0" borderId="85" pivotButton="0" quotePrefix="0" xfId="0"/>
    <xf numFmtId="0" fontId="0" fillId="0" borderId="270" pivotButton="0" quotePrefix="0" xfId="0"/>
    <xf numFmtId="0" fontId="0" fillId="0" borderId="113" pivotButton="0" quotePrefix="0" xfId="0"/>
    <xf numFmtId="0" fontId="1" fillId="0" borderId="277" applyAlignment="1" pivotButton="0" quotePrefix="0" xfId="0">
      <alignment horizontal="left"/>
    </xf>
    <xf numFmtId="0" fontId="0" fillId="0" borderId="26" pivotButton="0" quotePrefix="0" xfId="0"/>
    <xf numFmtId="0" fontId="0" fillId="0" borderId="39" pivotButton="0" quotePrefix="0" xfId="0"/>
    <xf numFmtId="0" fontId="1" fillId="0" borderId="277" applyAlignment="1" pivotButton="0" quotePrefix="0" xfId="0">
      <alignment horizontal="center" wrapText="1"/>
    </xf>
    <xf numFmtId="0" fontId="1" fillId="0" borderId="277" applyAlignment="1" pivotButton="0" quotePrefix="0" xfId="0">
      <alignment horizontal="center"/>
    </xf>
    <xf numFmtId="0" fontId="1" fillId="0" borderId="281" applyAlignment="1" pivotButton="0" quotePrefix="0" xfId="0">
      <alignment horizontal="left"/>
    </xf>
    <xf numFmtId="0" fontId="0" fillId="0" borderId="40" pivotButton="0" quotePrefix="0" xfId="0"/>
    <xf numFmtId="0" fontId="1" fillId="0" borderId="121" applyAlignment="1" pivotButton="0" quotePrefix="0" xfId="0">
      <alignment horizontal="right"/>
    </xf>
    <xf numFmtId="0" fontId="0" fillId="0" borderId="56" pivotButton="0" quotePrefix="0" xfId="0"/>
    <xf numFmtId="0" fontId="0" fillId="0" borderId="135" pivotButton="0" quotePrefix="0" xfId="0"/>
    <xf numFmtId="0" fontId="0" fillId="0" borderId="275" pivotButton="0" quotePrefix="0" xfId="0"/>
    <xf numFmtId="0" fontId="0" fillId="0" borderId="276" pivotButton="0" quotePrefix="0" xfId="0"/>
    <xf numFmtId="0" fontId="0" fillId="0" borderId="275" applyProtection="1" pivotButton="0" quotePrefix="0" xfId="0">
      <protection locked="0" hidden="0"/>
    </xf>
    <xf numFmtId="0" fontId="0" fillId="0" borderId="276" applyProtection="1" pivotButton="0" quotePrefix="0" xfId="0">
      <protection locked="0" hidden="0"/>
    </xf>
    <xf numFmtId="0" fontId="0" fillId="0" borderId="274" pivotButton="0" quotePrefix="0" xfId="0"/>
    <xf numFmtId="0" fontId="0" fillId="0" borderId="140" pivotButton="0" quotePrefix="0" xfId="0"/>
    <xf numFmtId="0" fontId="0" fillId="0" borderId="274" applyProtection="1" pivotButton="0" quotePrefix="0" xfId="0">
      <protection locked="0" hidden="0"/>
    </xf>
    <xf numFmtId="0" fontId="0" fillId="0" borderId="140" applyProtection="1" pivotButton="0" quotePrefix="0" xfId="0">
      <protection locked="0" hidden="0"/>
    </xf>
    <xf numFmtId="0" fontId="0" fillId="0" borderId="278" pivotButton="0" quotePrefix="0" xfId="0"/>
    <xf numFmtId="0" fontId="0" fillId="0" borderId="222" pivotButton="0" quotePrefix="0" xfId="0"/>
    <xf numFmtId="0" fontId="0" fillId="0" borderId="144" pivotButton="0" quotePrefix="0" xfId="0"/>
    <xf numFmtId="0" fontId="5" fillId="0" borderId="145" applyAlignment="1" pivotButton="0" quotePrefix="0" xfId="0">
      <alignment horizontal="left" vertical="center" wrapText="1"/>
    </xf>
    <xf numFmtId="0" fontId="0" fillId="0" borderId="222" applyProtection="1" pivotButton="0" quotePrefix="0" xfId="0">
      <protection locked="0" hidden="0"/>
    </xf>
    <xf numFmtId="0" fontId="0" fillId="0" borderId="144" applyProtection="1" pivotButton="0" quotePrefix="0" xfId="0">
      <protection locked="0" hidden="0"/>
    </xf>
    <xf numFmtId="0" fontId="0" fillId="0" borderId="180" pivotButton="0" quotePrefix="0" xfId="0"/>
    <xf numFmtId="0" fontId="0" fillId="0" borderId="180" applyProtection="1" pivotButton="0" quotePrefix="0" xfId="0">
      <protection locked="0" hidden="0"/>
    </xf>
    <xf numFmtId="0" fontId="0" fillId="0" borderId="181" pivotButton="0" quotePrefix="0" xfId="0"/>
    <xf numFmtId="0" fontId="0" fillId="0" borderId="181" applyProtection="1" pivotButton="0" quotePrefix="0" xfId="0">
      <protection locked="0" hidden="0"/>
    </xf>
    <xf numFmtId="0" fontId="0" fillId="0" borderId="289" pivotButton="0" quotePrefix="0" xfId="0"/>
    <xf numFmtId="0" fontId="0" fillId="0" borderId="290" pivotButton="0" quotePrefix="0" xfId="0"/>
    <xf numFmtId="0" fontId="0" fillId="0" borderId="170" pivotButton="0" quotePrefix="0" xfId="0"/>
    <xf numFmtId="0" fontId="0" fillId="0" borderId="171" pivotButton="0" quotePrefix="0" xfId="0"/>
    <xf numFmtId="0" fontId="0" fillId="0" borderId="170" applyProtection="1" pivotButton="0" quotePrefix="0" xfId="0">
      <protection locked="0" hidden="0"/>
    </xf>
    <xf numFmtId="0" fontId="0" fillId="0" borderId="171" applyProtection="1" pivotButton="0" quotePrefix="0" xfId="0">
      <protection locked="0" hidden="0"/>
    </xf>
    <xf numFmtId="0" fontId="0" fillId="0" borderId="173" pivotButton="0" quotePrefix="0" xfId="0"/>
    <xf numFmtId="0" fontId="0" fillId="0" borderId="0" applyProtection="1" pivotButton="0" quotePrefix="0" xfId="0">
      <protection locked="0" hidden="0"/>
    </xf>
    <xf numFmtId="0" fontId="0" fillId="0" borderId="172" pivotButton="0" quotePrefix="0" xfId="0"/>
    <xf numFmtId="0" fontId="0" fillId="0" borderId="287" pivotButton="0" quotePrefix="0" xfId="0"/>
    <xf numFmtId="0" fontId="0" fillId="0" borderId="173" applyProtection="1" pivotButton="0" quotePrefix="0" xfId="0">
      <protection locked="0" hidden="0"/>
    </xf>
    <xf numFmtId="0" fontId="0" fillId="0" borderId="175" pivotButton="0" quotePrefix="0" xfId="0"/>
    <xf numFmtId="0" fontId="0" fillId="0" borderId="176" pivotButton="0" quotePrefix="0" xfId="0"/>
    <xf numFmtId="0" fontId="0" fillId="0" borderId="174" pivotButton="0" quotePrefix="0" xfId="0"/>
    <xf numFmtId="0" fontId="0" fillId="0" borderId="288" pivotButton="0" quotePrefix="0" xfId="0"/>
    <xf numFmtId="0" fontId="0" fillId="0" borderId="175" applyProtection="1" pivotButton="0" quotePrefix="0" xfId="0">
      <protection locked="0" hidden="0"/>
    </xf>
    <xf numFmtId="0" fontId="0" fillId="0" borderId="176" applyProtection="1" pivotButton="0" quotePrefix="0" xfId="0">
      <protection locked="0" hidden="0"/>
    </xf>
    <xf numFmtId="0" fontId="0" fillId="0" borderId="291" pivotButton="0" quotePrefix="0" xfId="0"/>
    <xf numFmtId="0" fontId="0" fillId="0" borderId="182" pivotButton="0" quotePrefix="0" xfId="0"/>
    <xf numFmtId="0" fontId="0" fillId="0" borderId="291" applyProtection="1" pivotButton="0" quotePrefix="0" xfId="0">
      <protection locked="0" hidden="0"/>
    </xf>
    <xf numFmtId="0" fontId="0" fillId="0" borderId="182" applyProtection="1" pivotButton="0" quotePrefix="0" xfId="0">
      <protection locked="0" hidden="0"/>
    </xf>
    <xf numFmtId="0" fontId="0" fillId="0" borderId="214" pivotButton="0" quotePrefix="0" xfId="0"/>
    <xf numFmtId="0" fontId="0" fillId="0" borderId="283" pivotButton="0" quotePrefix="0" xfId="0"/>
    <xf numFmtId="0" fontId="0" fillId="0" borderId="284" pivotButton="0" quotePrefix="0" xfId="0"/>
    <xf numFmtId="0" fontId="0" fillId="0" borderId="285" pivotButton="0" quotePrefix="0" xfId="0"/>
    <xf numFmtId="0" fontId="0" fillId="0" borderId="209" pivotButton="0" quotePrefix="0" xfId="0"/>
    <xf numFmtId="0" fontId="0" fillId="0" borderId="219" pivotButton="0" quotePrefix="0" xfId="0"/>
  </cellXfs>
  <cellStyles count="2">
    <cellStyle name="Normal" xfId="0" builtinId="0"/>
    <cellStyle name="Percent" xfId="1" builtinId="5"/>
  </cellStyles>
  <dxfs count="1">
    <dxf>
      <font>
        <color theme="4" tint="-0.249946592608417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A34"/>
  <sheetViews>
    <sheetView showGridLines="0" showRuler="0" view="pageLayout" zoomScale="130" zoomScaleNormal="100" zoomScalePageLayoutView="130" workbookViewId="0">
      <selection activeCell="E2" sqref="E2:K2"/>
    </sheetView>
  </sheetViews>
  <sheetFormatPr baseColWidth="8" defaultColWidth="9.140625" defaultRowHeight="15"/>
  <cols>
    <col width="3.7109375" customWidth="1" min="1" max="27"/>
  </cols>
  <sheetData>
    <row r="1" ht="15" customHeight="1">
      <c r="A1" s="189" t="inlineStr">
        <is>
          <t>Job Number:</t>
        </is>
      </c>
      <c r="B1" s="457" t="n"/>
      <c r="C1" s="457" t="n"/>
      <c r="D1" s="457" t="n"/>
      <c r="E1" s="333" t="n"/>
      <c r="F1" s="458" t="n"/>
      <c r="G1" s="458" t="n"/>
      <c r="H1" s="458" t="n"/>
      <c r="I1" s="458" t="n"/>
      <c r="J1" s="458" t="n"/>
      <c r="K1" s="459" t="n"/>
      <c r="M1" s="189" t="inlineStr">
        <is>
          <t>Structure Type:</t>
        </is>
      </c>
      <c r="N1" s="457" t="n"/>
      <c r="O1" s="457" t="n"/>
      <c r="P1" s="457" t="n"/>
      <c r="Q1" s="194" t="n"/>
      <c r="R1" s="458" t="n"/>
      <c r="S1" s="458" t="n"/>
      <c r="T1" s="458" t="n"/>
      <c r="U1" s="459" t="n"/>
    </row>
    <row r="2" ht="15" customHeight="1">
      <c r="A2" s="189" t="inlineStr">
        <is>
          <t>Job Name:</t>
        </is>
      </c>
      <c r="B2" s="457" t="n"/>
      <c r="C2" s="457" t="n"/>
      <c r="D2" s="457" t="n"/>
      <c r="E2" s="335" t="n"/>
      <c r="F2" s="458" t="n"/>
      <c r="G2" s="458" t="n"/>
      <c r="H2" s="458" t="n"/>
      <c r="I2" s="458" t="n"/>
      <c r="J2" s="458" t="n"/>
      <c r="K2" s="459" t="n"/>
      <c r="M2" s="189" t="inlineStr">
        <is>
          <t>Material:</t>
        </is>
      </c>
      <c r="N2" s="457" t="n"/>
      <c r="O2" s="457" t="n"/>
      <c r="P2" s="457" t="n"/>
      <c r="Q2" s="194" t="n"/>
      <c r="R2" s="458" t="n"/>
      <c r="S2" s="458" t="n"/>
      <c r="T2" s="458" t="n"/>
      <c r="U2" s="459" t="n"/>
    </row>
    <row r="3" ht="15" customHeight="1">
      <c r="B3" s="15" t="n"/>
    </row>
    <row r="4">
      <c r="A4" s="27" t="n"/>
      <c r="B4" s="460" t="inlineStr">
        <is>
          <t>Part</t>
        </is>
      </c>
      <c r="F4" s="27" t="n"/>
      <c r="G4" s="323" t="inlineStr">
        <is>
          <t>Dimensions</t>
        </is>
      </c>
      <c r="L4" s="27" t="n"/>
      <c r="M4" s="324" t="inlineStr">
        <is>
          <t>Qty</t>
        </is>
      </c>
      <c r="N4" s="27" t="n"/>
      <c r="O4" s="323" t="inlineStr">
        <is>
          <t>Holes</t>
        </is>
      </c>
      <c r="R4" s="27" t="n"/>
      <c r="S4" s="461" t="inlineStr">
        <is>
          <t>OP</t>
        </is>
      </c>
      <c r="U4" s="462" t="n"/>
      <c r="V4" s="463" t="inlineStr">
        <is>
          <t>Shop Check</t>
        </is>
      </c>
      <c r="AA4" s="27" t="n"/>
    </row>
    <row r="5">
      <c r="A5" s="28" t="n"/>
      <c r="B5" s="464" t="inlineStr">
        <is>
          <t>Material Size</t>
        </is>
      </c>
      <c r="C5" s="465" t="n"/>
      <c r="D5" s="465" t="n"/>
      <c r="E5" s="465" t="n"/>
      <c r="F5" s="28" t="n"/>
      <c r="G5" s="324" t="inlineStr">
        <is>
          <t>Print/Cutlist</t>
        </is>
      </c>
      <c r="H5" s="465" t="n"/>
      <c r="I5" s="28" t="n"/>
      <c r="J5" s="324" t="inlineStr">
        <is>
          <t>Actual</t>
        </is>
      </c>
      <c r="K5" s="465" t="n"/>
      <c r="L5" s="28" t="n"/>
      <c r="M5" s="466" t="n"/>
      <c r="N5" s="28" t="n"/>
      <c r="O5" s="324" t="inlineStr">
        <is>
          <t>No.</t>
        </is>
      </c>
      <c r="P5" s="28" t="n"/>
      <c r="Q5" s="324" t="inlineStr">
        <is>
          <t>Pattern</t>
        </is>
      </c>
      <c r="R5" s="28" t="n"/>
      <c r="S5" s="467" t="inlineStr">
        <is>
          <t>Initials</t>
        </is>
      </c>
      <c r="T5" s="465" t="n"/>
      <c r="U5" s="468" t="n"/>
      <c r="V5" s="469" t="inlineStr">
        <is>
          <t>Initials</t>
        </is>
      </c>
      <c r="W5" s="465" t="n"/>
      <c r="X5" s="470" t="n"/>
      <c r="Y5" s="471" t="inlineStr">
        <is>
          <t>Date</t>
        </is>
      </c>
      <c r="Z5" s="465" t="n"/>
      <c r="AA5" s="28" t="n"/>
    </row>
    <row r="6" ht="32.25" customHeight="1">
      <c r="A6" s="328" t="inlineStr">
        <is>
          <t>Saw</t>
        </is>
      </c>
      <c r="B6" s="472">
        <f>IF(Q1="Truss",Ref!B4,IF(Q1="Bolted Truss",Ref!C4,IF(Q1="Modular",Ref!D4,IF(Q1="Tower",Ref!E4,IF(Q1="Landing",Ref!G4,Ref!F4)))))</f>
        <v/>
      </c>
      <c r="C6" s="473" t="n"/>
      <c r="D6" s="473" t="n"/>
      <c r="E6" s="473" t="n"/>
      <c r="F6" s="474" t="n"/>
      <c r="G6" s="336" t="n"/>
      <c r="H6" s="473" t="n"/>
      <c r="I6" s="475" t="n"/>
      <c r="J6" s="322" t="n"/>
      <c r="K6" s="473" t="n"/>
      <c r="L6" s="475" t="n"/>
      <c r="M6" s="322" t="n"/>
      <c r="N6" s="475" t="n"/>
      <c r="O6" s="322" t="n"/>
      <c r="P6" s="475" t="n"/>
      <c r="Q6" s="322" t="n"/>
      <c r="R6" s="475" t="n"/>
      <c r="S6" s="476" t="n"/>
      <c r="T6" s="473" t="n"/>
      <c r="U6" s="477" t="n"/>
      <c r="V6" s="478" t="n"/>
      <c r="W6" s="473" t="n"/>
      <c r="X6" s="475" t="n"/>
      <c r="Y6" s="479" t="n"/>
      <c r="Z6" s="473" t="n"/>
      <c r="AA6" s="474" t="n"/>
    </row>
    <row r="7" ht="32.25" customHeight="1">
      <c r="A7" s="27" t="n"/>
      <c r="B7" s="480">
        <f>IF(Q1="Truss",Ref!B5,IF(Q1="Bolted Truss",Ref!C5,IF(Q1="Modular",Ref!D5,IF(Q1="Tower",Ref!E5,IF(Q1="Landing",Ref!G5,Ref!F5)))))</f>
        <v/>
      </c>
      <c r="C7" s="71" t="n"/>
      <c r="D7" s="71" t="n"/>
      <c r="E7" s="71" t="n"/>
      <c r="F7" s="481" t="n"/>
      <c r="G7" s="308" t="n"/>
      <c r="H7" s="71" t="n"/>
      <c r="I7" s="482" t="n"/>
      <c r="J7" s="161" t="n"/>
      <c r="K7" s="71" t="n"/>
      <c r="L7" s="482" t="n"/>
      <c r="M7" s="161" t="n"/>
      <c r="N7" s="482" t="n"/>
      <c r="O7" s="161" t="n"/>
      <c r="P7" s="482" t="n"/>
      <c r="Q7" s="161" t="n"/>
      <c r="R7" s="482" t="n"/>
      <c r="S7" s="483" t="n"/>
      <c r="T7" s="71" t="n"/>
      <c r="U7" s="484" t="n"/>
      <c r="V7" s="485" t="n"/>
      <c r="W7" s="71" t="n"/>
      <c r="X7" s="482" t="n"/>
      <c r="Y7" s="486" t="n"/>
      <c r="Z7" s="71" t="n"/>
      <c r="AA7" s="481" t="n"/>
    </row>
    <row r="8" ht="32.25" customHeight="1">
      <c r="A8" s="27" t="n"/>
      <c r="B8" s="480">
        <f>IF(Q1="Truss",Ref!B6,IF(Q1="Bolted Truss",Ref!C6,IF(Q1="Modular",Ref!D6,IF(Q1="Tower",Ref!E6,IF(Q1="Landing",Ref!G6,Ref!F6)))))</f>
        <v/>
      </c>
      <c r="C8" s="71" t="n"/>
      <c r="D8" s="71" t="n"/>
      <c r="E8" s="71" t="n"/>
      <c r="F8" s="481" t="n"/>
      <c r="G8" s="308" t="n"/>
      <c r="H8" s="71" t="n"/>
      <c r="I8" s="482" t="n"/>
      <c r="J8" s="161" t="n"/>
      <c r="K8" s="71" t="n"/>
      <c r="L8" s="482" t="n"/>
      <c r="M8" s="161" t="n"/>
      <c r="N8" s="482" t="n"/>
      <c r="O8" s="161" t="n"/>
      <c r="P8" s="482" t="n"/>
      <c r="Q8" s="161" t="n"/>
      <c r="R8" s="482" t="n"/>
      <c r="S8" s="483" t="n"/>
      <c r="T8" s="71" t="n"/>
      <c r="U8" s="484" t="n"/>
      <c r="V8" s="485" t="n"/>
      <c r="W8" s="71" t="n"/>
      <c r="X8" s="482" t="n"/>
      <c r="Y8" s="486" t="n"/>
      <c r="Z8" s="71" t="n"/>
      <c r="AA8" s="481" t="n"/>
    </row>
    <row r="9" ht="32.25" customHeight="1">
      <c r="A9" s="27" t="n"/>
      <c r="B9" s="487">
        <f>IF(Q1="Truss",Ref!B7,IF(Q1="Bolted Truss",Ref!C7,IF(Q1="Modular",Ref!D7,IF(Q1="Tower",Ref!E7,IF(Q1="Landing",Ref!G7,Ref!F7)))))</f>
        <v/>
      </c>
      <c r="C9" s="71" t="n"/>
      <c r="D9" s="71" t="n"/>
      <c r="E9" s="71" t="n"/>
      <c r="F9" s="481" t="n"/>
      <c r="G9" s="308" t="n"/>
      <c r="H9" s="71" t="n"/>
      <c r="I9" s="482" t="n"/>
      <c r="J9" s="161" t="n"/>
      <c r="K9" s="71" t="n"/>
      <c r="L9" s="482" t="n"/>
      <c r="M9" s="161" t="n"/>
      <c r="N9" s="482" t="n"/>
      <c r="O9" s="161" t="n"/>
      <c r="P9" s="482" t="n"/>
      <c r="Q9" s="161" t="n"/>
      <c r="R9" s="482" t="n"/>
      <c r="S9" s="483" t="n"/>
      <c r="T9" s="71" t="n"/>
      <c r="U9" s="484" t="n"/>
      <c r="V9" s="485" t="n"/>
      <c r="W9" s="71" t="n"/>
      <c r="X9" s="482" t="n"/>
      <c r="Y9" s="486" t="n"/>
      <c r="Z9" s="71" t="n"/>
      <c r="AA9" s="481" t="n"/>
    </row>
    <row r="10" ht="32.25" customHeight="1" thickBot="1">
      <c r="A10" s="28" t="n"/>
      <c r="B10" s="488">
        <f>IF(Q1="Truss",Ref!B8,IF(Q1="Bolted Truss",Ref!C8,IF(Q1="Modular",Ref!D8,IF(Q1="Tower",Ref!E8,IF(Q1="Landing",Ref!G8,Ref!F8)))))</f>
        <v/>
      </c>
      <c r="C10" s="489" t="n"/>
      <c r="D10" s="489" t="n"/>
      <c r="E10" s="489" t="n"/>
      <c r="F10" s="490" t="n"/>
      <c r="G10" s="294" t="n"/>
      <c r="H10" s="489" t="n"/>
      <c r="I10" s="491" t="n"/>
      <c r="J10" s="295" t="n"/>
      <c r="K10" s="489" t="n"/>
      <c r="L10" s="491" t="n"/>
      <c r="M10" s="295" t="n"/>
      <c r="N10" s="491" t="n"/>
      <c r="O10" s="295" t="n"/>
      <c r="P10" s="491" t="n"/>
      <c r="Q10" s="295" t="n"/>
      <c r="R10" s="491" t="n"/>
      <c r="S10" s="492" t="n"/>
      <c r="T10" s="489" t="n"/>
      <c r="U10" s="493" t="n"/>
      <c r="V10" s="494" t="n"/>
      <c r="W10" s="489" t="n"/>
      <c r="X10" s="491" t="n"/>
      <c r="Y10" s="495" t="n"/>
      <c r="Z10" s="489" t="n"/>
      <c r="AA10" s="490" t="n"/>
    </row>
    <row r="11" ht="32.25" customHeight="1">
      <c r="A11" s="330" t="inlineStr">
        <is>
          <t>Plate</t>
        </is>
      </c>
      <c r="B11" s="496">
        <f>IF(Q1="Truss",Ref!B9,IF(Q1="Bolted Truss",Ref!C9,IF(Q1="Modular",Ref!D9,IF(Q1="Tower",Ref!E9,IF(Q1="Landing",Ref!G9,Ref!F9)))))</f>
        <v/>
      </c>
      <c r="C11" s="497" t="n"/>
      <c r="D11" s="497" t="n"/>
      <c r="E11" s="497" t="n"/>
      <c r="F11" s="498" t="n"/>
      <c r="G11" s="337" t="n"/>
      <c r="H11" s="497" t="n"/>
      <c r="I11" s="499" t="n"/>
      <c r="J11" s="309" t="n"/>
      <c r="K11" s="497" t="n"/>
      <c r="L11" s="499" t="n"/>
      <c r="M11" s="309" t="n"/>
      <c r="N11" s="499" t="n"/>
      <c r="O11" s="309" t="n"/>
      <c r="P11" s="499" t="n"/>
      <c r="Q11" s="309" t="n"/>
      <c r="R11" s="499" t="n"/>
      <c r="S11" s="500" t="n"/>
      <c r="T11" s="497" t="n"/>
      <c r="U11" s="501" t="n"/>
      <c r="V11" s="502" t="n"/>
      <c r="W11" s="497" t="n"/>
      <c r="X11" s="499" t="n"/>
      <c r="Y11" s="503" t="n"/>
      <c r="Z11" s="497" t="n"/>
      <c r="AA11" s="498" t="n"/>
    </row>
    <row r="12" ht="32.25" customHeight="1">
      <c r="A12" s="27" t="n"/>
      <c r="B12" s="480">
        <f>IF(Q1="Truss",Ref!B10,IF(Q1="Bolted Truss",Ref!C10,IF(Q1="Modular",Ref!D10,IF(Q1="Tower",Ref!E10,IF(Q1="Landing",Ref!G10,Ref!F10)))))</f>
        <v/>
      </c>
      <c r="C12" s="71" t="n"/>
      <c r="D12" s="71" t="n"/>
      <c r="E12" s="71" t="n"/>
      <c r="F12" s="481" t="n"/>
      <c r="G12" s="308" t="n"/>
      <c r="H12" s="71" t="n"/>
      <c r="I12" s="482" t="n"/>
      <c r="J12" s="161" t="n"/>
      <c r="K12" s="71" t="n"/>
      <c r="L12" s="482" t="n"/>
      <c r="M12" s="161" t="n"/>
      <c r="N12" s="482" t="n"/>
      <c r="O12" s="161" t="n"/>
      <c r="P12" s="482" t="n"/>
      <c r="Q12" s="161" t="n"/>
      <c r="R12" s="482" t="n"/>
      <c r="S12" s="483" t="n"/>
      <c r="T12" s="71" t="n"/>
      <c r="U12" s="484" t="n"/>
      <c r="V12" s="485" t="n"/>
      <c r="W12" s="71" t="n"/>
      <c r="X12" s="482" t="n"/>
      <c r="Y12" s="486" t="n"/>
      <c r="Z12" s="71" t="n"/>
      <c r="AA12" s="481" t="n"/>
    </row>
    <row r="13" ht="32.25" customHeight="1">
      <c r="A13" s="27" t="n"/>
      <c r="B13" s="480">
        <f>IF(Q1="Truss",Ref!B11,IF(Q1="Bolted Truss",Ref!C11,IF(Q1="Modular",Ref!D11,IF(Q1="Tower",Ref!E11,IF(Q1="Landing",Ref!G11,Ref!F11)))))</f>
        <v/>
      </c>
      <c r="C13" s="71" t="n"/>
      <c r="D13" s="71" t="n"/>
      <c r="E13" s="71" t="n"/>
      <c r="F13" s="481" t="n"/>
      <c r="G13" s="308" t="n"/>
      <c r="H13" s="71" t="n"/>
      <c r="I13" s="482" t="n"/>
      <c r="J13" s="161" t="n"/>
      <c r="K13" s="71" t="n"/>
      <c r="L13" s="482" t="n"/>
      <c r="M13" s="161" t="n"/>
      <c r="N13" s="482" t="n"/>
      <c r="O13" s="161" t="n"/>
      <c r="P13" s="482" t="n"/>
      <c r="Q13" s="161" t="n"/>
      <c r="R13" s="482" t="n"/>
      <c r="S13" s="483" t="n"/>
      <c r="T13" s="71" t="n"/>
      <c r="U13" s="484" t="n"/>
      <c r="V13" s="485" t="n"/>
      <c r="W13" s="71" t="n"/>
      <c r="X13" s="482" t="n"/>
      <c r="Y13" s="486" t="n"/>
      <c r="Z13" s="71" t="n"/>
      <c r="AA13" s="481" t="n"/>
    </row>
    <row r="14" ht="32.25" customHeight="1" thickBot="1">
      <c r="A14" s="28" t="n"/>
      <c r="B14" s="488">
        <f>IF(Q1="Truss",Ref!B12,IF(Q1="Bolted Truss",Ref!C12,IF(Q1="Modular",Ref!D12,IF(Q1="Tower",Ref!E12,IF(Q1="Landing",Ref!G12,Ref!F12)))))</f>
        <v/>
      </c>
      <c r="C14" s="489" t="n"/>
      <c r="D14" s="489" t="n"/>
      <c r="E14" s="489" t="n"/>
      <c r="F14" s="490" t="n"/>
      <c r="G14" s="294" t="n"/>
      <c r="H14" s="489" t="n"/>
      <c r="I14" s="491" t="n"/>
      <c r="J14" s="295" t="n"/>
      <c r="K14" s="489" t="n"/>
      <c r="L14" s="491" t="n"/>
      <c r="M14" s="295" t="n"/>
      <c r="N14" s="491" t="n"/>
      <c r="O14" s="295" t="n"/>
      <c r="P14" s="491" t="n"/>
      <c r="Q14" s="295" t="n"/>
      <c r="R14" s="491" t="n"/>
      <c r="S14" s="492" t="n"/>
      <c r="T14" s="489" t="n"/>
      <c r="U14" s="493" t="n"/>
      <c r="V14" s="494" t="n"/>
      <c r="W14" s="489" t="n"/>
      <c r="X14" s="491" t="n"/>
      <c r="Y14" s="495" t="n"/>
      <c r="Z14" s="489" t="n"/>
      <c r="AA14" s="490" t="n"/>
    </row>
    <row r="15" ht="15" customHeight="1">
      <c r="Q15" s="367" t="inlineStr">
        <is>
          <t>Cutlist Completed?</t>
        </is>
      </c>
      <c r="R15" s="29" t="n"/>
      <c r="S15" s="29" t="n"/>
      <c r="T15" s="29" t="n"/>
      <c r="U15" s="34" t="n"/>
      <c r="V15" s="368" t="n"/>
      <c r="W15" s="29" t="n"/>
      <c r="X15" s="34" t="n"/>
    </row>
    <row r="16" ht="15" customHeight="1">
      <c r="Q16" s="326" t="inlineStr">
        <is>
          <t>Heat No. on Material?</t>
        </is>
      </c>
      <c r="R16" s="504" t="n"/>
      <c r="S16" s="504" t="n"/>
      <c r="T16" s="504" t="n"/>
      <c r="U16" s="505" t="n"/>
      <c r="V16" s="325" t="n"/>
      <c r="W16" s="504" t="n"/>
      <c r="X16" s="505" t="n"/>
    </row>
    <row r="17" ht="15" customHeight="1">
      <c r="Q17" s="346" t="inlineStr">
        <is>
          <t>Debur Edges/Holes?</t>
        </is>
      </c>
      <c r="R17" s="504" t="n"/>
      <c r="S17" s="504" t="n"/>
      <c r="T17" s="504" t="n"/>
      <c r="U17" s="505" t="n"/>
      <c r="V17" s="506" t="n"/>
      <c r="W17" s="504" t="n"/>
      <c r="X17" s="505" t="n"/>
    </row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 thickBot="1"/>
    <row r="31" ht="18" customHeight="1">
      <c r="A31" s="23" t="inlineStr">
        <is>
          <t>Quality Incident Written?</t>
        </is>
      </c>
      <c r="B31" s="22" t="n"/>
      <c r="C31" s="22" t="n"/>
      <c r="D31" s="22" t="n"/>
      <c r="E31" s="24" t="n"/>
      <c r="F31" s="29" t="n"/>
      <c r="G31" s="29" t="n"/>
      <c r="H31" s="29" t="n"/>
      <c r="I31" s="29" t="n"/>
      <c r="J31" s="29" t="n"/>
      <c r="K31" s="29" t="n"/>
      <c r="L31" s="29" t="n"/>
      <c r="M31" s="29" t="n"/>
      <c r="N31" s="29" t="n"/>
      <c r="O31" s="29" t="n"/>
      <c r="P31" s="29" t="n"/>
      <c r="Q31" s="29" t="n"/>
      <c r="R31" s="29" t="n"/>
      <c r="S31" s="29" t="n"/>
      <c r="T31" s="34" t="n"/>
      <c r="U31" s="22" t="n"/>
      <c r="V31" s="22" t="n"/>
      <c r="W31" s="24" t="n"/>
      <c r="X31" s="30" t="inlineStr">
        <is>
          <t>Repairs Inspected?</t>
        </is>
      </c>
      <c r="Y31" s="29" t="n"/>
      <c r="Z31" s="29" t="n"/>
      <c r="AA31" s="35" t="n"/>
    </row>
    <row r="32" ht="18" customHeight="1">
      <c r="A32" s="63" t="inlineStr">
        <is>
          <t>Final Pre-Fabrication</t>
        </is>
      </c>
      <c r="B32" s="67" t="n"/>
      <c r="C32" s="67" t="n"/>
      <c r="D32" s="67" t="n"/>
      <c r="E32" s="67" t="n"/>
      <c r="F32" s="67" t="n"/>
      <c r="G32" s="67" t="n"/>
      <c r="H32" s="67" t="n"/>
      <c r="I32" s="67" t="n"/>
      <c r="J32" s="67" t="n"/>
      <c r="K32" s="67" t="n"/>
      <c r="L32" s="67" t="n"/>
      <c r="M32" s="67" t="n"/>
      <c r="N32" s="67" t="n"/>
      <c r="O32" s="67" t="n"/>
      <c r="P32" s="67" t="n"/>
      <c r="Q32" s="67" t="n"/>
      <c r="R32" s="67" t="n"/>
      <c r="S32" s="67" t="n"/>
      <c r="T32" s="67" t="n"/>
      <c r="U32" s="67" t="n"/>
      <c r="V32" s="67" t="n"/>
      <c r="W32" s="67" t="n"/>
      <c r="X32" s="68" t="n"/>
      <c r="Y32" s="67" t="n"/>
      <c r="Z32" s="67" t="n"/>
      <c r="AA32" s="69" t="n"/>
    </row>
    <row r="33">
      <c r="A33" s="60" t="inlineStr">
        <is>
          <t>Reviewed above information and confirmed accuracy.</t>
        </is>
      </c>
      <c r="B33" s="61" t="n"/>
      <c r="C33" s="61" t="n"/>
      <c r="D33" s="61" t="n"/>
      <c r="E33" s="61" t="n"/>
      <c r="F33" s="61" t="n"/>
      <c r="G33" s="61" t="n"/>
      <c r="H33" s="61" t="n"/>
      <c r="I33" s="61" t="n"/>
      <c r="J33" s="61" t="n"/>
      <c r="K33" s="61" t="n"/>
      <c r="L33" s="61" t="inlineStr">
        <is>
          <t>All dimensional inspections completed and documented.</t>
        </is>
      </c>
      <c r="M33" s="61" t="n"/>
      <c r="N33" s="61" t="n"/>
      <c r="O33" s="61" t="n"/>
      <c r="P33" s="61" t="n"/>
      <c r="Q33" s="61" t="n"/>
      <c r="R33" s="61" t="n"/>
      <c r="S33" s="61" t="n"/>
      <c r="T33" s="61" t="n"/>
      <c r="U33" s="61" t="n"/>
      <c r="V33" s="61" t="n"/>
      <c r="W33" s="61" t="n"/>
      <c r="X33" s="61" t="n"/>
      <c r="Y33" s="61" t="n"/>
      <c r="Z33" s="61" t="n"/>
      <c r="AA33" s="62" t="n"/>
    </row>
    <row r="34" ht="28.7" customHeight="1" thickBot="1">
      <c r="A34" s="31" t="inlineStr">
        <is>
          <t>QC Signature:</t>
        </is>
      </c>
      <c r="B34" s="31" t="n"/>
      <c r="C34" s="31" t="n"/>
      <c r="D34" s="32" t="n"/>
      <c r="E34" s="33" t="n"/>
      <c r="F34" s="33" t="n"/>
      <c r="G34" s="33" t="n"/>
      <c r="H34" s="33" t="n"/>
      <c r="I34" s="33" t="n"/>
      <c r="J34" s="33" t="n"/>
      <c r="K34" s="33" t="n"/>
      <c r="L34" s="33" t="n"/>
      <c r="M34" s="33" t="n"/>
      <c r="N34" s="33" t="n"/>
      <c r="O34" s="33" t="n"/>
      <c r="P34" s="33" t="n"/>
      <c r="Q34" s="33" t="n"/>
      <c r="R34" s="33" t="n"/>
      <c r="S34" s="33" t="n"/>
      <c r="T34" s="33" t="n"/>
      <c r="U34" s="33" t="n"/>
      <c r="V34" s="37" t="n"/>
      <c r="W34" s="33" t="n"/>
      <c r="X34" s="33" t="inlineStr">
        <is>
          <t>Date:</t>
        </is>
      </c>
      <c r="Y34" s="33" t="n"/>
      <c r="Z34" s="33" t="n"/>
      <c r="AA34" s="36" t="n"/>
    </row>
  </sheetData>
  <mergeCells count="111">
    <mergeCell ref="O7:P7"/>
    <mergeCell ref="V10:X10"/>
    <mergeCell ref="Y11:AA11"/>
    <mergeCell ref="B7:F7"/>
    <mergeCell ref="Q7:R7"/>
    <mergeCell ref="Q13:R13"/>
    <mergeCell ref="S14:U14"/>
    <mergeCell ref="G13:I13"/>
    <mergeCell ref="O6:P6"/>
    <mergeCell ref="S13:U13"/>
    <mergeCell ref="J11:L11"/>
    <mergeCell ref="S6:U6"/>
    <mergeCell ref="B11:F11"/>
    <mergeCell ref="M10:N10"/>
    <mergeCell ref="Y13:AA13"/>
    <mergeCell ref="G4:L4"/>
    <mergeCell ref="Q1:U1"/>
    <mergeCell ref="Q15:U15"/>
    <mergeCell ref="Y8:AA8"/>
    <mergeCell ref="G9:I9"/>
    <mergeCell ref="V12:X12"/>
    <mergeCell ref="Q9:R9"/>
    <mergeCell ref="M8:N8"/>
    <mergeCell ref="O8:P8"/>
    <mergeCell ref="B6:F6"/>
    <mergeCell ref="O11:P11"/>
    <mergeCell ref="V14:X14"/>
    <mergeCell ref="Q11:R11"/>
    <mergeCell ref="J13:L13"/>
    <mergeCell ref="V13:X13"/>
    <mergeCell ref="A2:D2"/>
    <mergeCell ref="S11:U11"/>
    <mergeCell ref="Y5:AA5"/>
    <mergeCell ref="Y14:AA14"/>
    <mergeCell ref="G6:I6"/>
    <mergeCell ref="Q12:R12"/>
    <mergeCell ref="J7:L7"/>
    <mergeCell ref="Y6:AA6"/>
    <mergeCell ref="G14:I14"/>
    <mergeCell ref="Y12:AA12"/>
    <mergeCell ref="B8:F8"/>
    <mergeCell ref="M13:N13"/>
    <mergeCell ref="M7:N7"/>
    <mergeCell ref="B10:F10"/>
    <mergeCell ref="V17:X17"/>
    <mergeCell ref="B9:F9"/>
    <mergeCell ref="J5:L5"/>
    <mergeCell ref="J14:L14"/>
    <mergeCell ref="V5:X5"/>
    <mergeCell ref="B5:F5"/>
    <mergeCell ref="G8:I8"/>
    <mergeCell ref="S8:U8"/>
    <mergeCell ref="B4:F4"/>
    <mergeCell ref="J6:L6"/>
    <mergeCell ref="Q16:U16"/>
    <mergeCell ref="G10:I10"/>
    <mergeCell ref="Y10:AA10"/>
    <mergeCell ref="M9:N9"/>
    <mergeCell ref="A11:A14"/>
    <mergeCell ref="O9:P9"/>
    <mergeCell ref="V15:X15"/>
    <mergeCell ref="M11:N11"/>
    <mergeCell ref="G5:I5"/>
    <mergeCell ref="O5:P5"/>
    <mergeCell ref="Q5:R5"/>
    <mergeCell ref="Q14:R14"/>
    <mergeCell ref="V7:X7"/>
    <mergeCell ref="B13:F13"/>
    <mergeCell ref="M4:N5"/>
    <mergeCell ref="V16:X16"/>
    <mergeCell ref="A1:D1"/>
    <mergeCell ref="M12:N12"/>
    <mergeCell ref="M1:P1"/>
    <mergeCell ref="Q6:R6"/>
    <mergeCell ref="S4:U4"/>
    <mergeCell ref="J8:L8"/>
    <mergeCell ref="G12:I12"/>
    <mergeCell ref="S12:U12"/>
    <mergeCell ref="O4:R4"/>
    <mergeCell ref="J10:L10"/>
    <mergeCell ref="J9:L9"/>
    <mergeCell ref="E2:K2"/>
    <mergeCell ref="G7:I7"/>
    <mergeCell ref="S7:U7"/>
    <mergeCell ref="V9:X9"/>
    <mergeCell ref="O10:P10"/>
    <mergeCell ref="V6:X6"/>
    <mergeCell ref="Q8:R8"/>
    <mergeCell ref="Y7:AA7"/>
    <mergeCell ref="S10:U10"/>
    <mergeCell ref="V11:X11"/>
    <mergeCell ref="B12:F12"/>
    <mergeCell ref="S9:U9"/>
    <mergeCell ref="Q10:R10"/>
    <mergeCell ref="B14:F14"/>
    <mergeCell ref="J12:L12"/>
    <mergeCell ref="S5:U5"/>
    <mergeCell ref="M6:N6"/>
    <mergeCell ref="M2:P2"/>
    <mergeCell ref="E1:K1"/>
    <mergeCell ref="O12:P12"/>
    <mergeCell ref="A6:A10"/>
    <mergeCell ref="G11:I11"/>
    <mergeCell ref="Q2:U2"/>
    <mergeCell ref="Q17:U17"/>
    <mergeCell ref="V8:X8"/>
    <mergeCell ref="Y9:AA9"/>
    <mergeCell ref="M14:N14"/>
    <mergeCell ref="O14:P14"/>
    <mergeCell ref="V4:AA4"/>
    <mergeCell ref="O13:P13"/>
  </mergeCells>
  <pageMargins left="0.25" right="0.25" top="1.25" bottom="0.5" header="0.3" footer="0.3"/>
  <pageSetup orientation="portrait"/>
  <headerFooter>
    <oddHeader>&amp;L&amp;G&amp;R&amp;"-,Bold"&amp;16 QC Report - Pre-Fabrication</oddHeader>
    <oddFooter>&amp;LR9.2, R9.3, R9.4&amp;C"Meet or exceed requirements agreed to with all Contech Customers"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A35"/>
  <sheetViews>
    <sheetView showGridLines="0" showRuler="0" view="pageLayout" topLeftCell="A22" zoomScale="115" zoomScaleNormal="100" zoomScalePageLayoutView="115" workbookViewId="0">
      <selection activeCell="I16" sqref="I16:K16"/>
    </sheetView>
  </sheetViews>
  <sheetFormatPr baseColWidth="8" defaultColWidth="9.140625" defaultRowHeight="15"/>
  <cols>
    <col width="3.7109375" customWidth="1" min="1" max="1"/>
    <col width="3.7109375" customWidth="1" style="16" min="2" max="3"/>
    <col width="3.7109375" customWidth="1" min="4" max="8"/>
    <col width="3.5703125" customWidth="1" min="9" max="11"/>
    <col width="3.7109375" customWidth="1" min="12" max="27"/>
  </cols>
  <sheetData>
    <row r="1">
      <c r="A1" s="189" t="inlineStr">
        <is>
          <t>Job Number:</t>
        </is>
      </c>
      <c r="B1" s="457" t="n"/>
      <c r="C1" s="457" t="n"/>
      <c r="D1" s="457" t="n"/>
      <c r="E1" s="214" t="n"/>
      <c r="F1" s="457" t="n"/>
      <c r="G1" s="457" t="n"/>
      <c r="H1" s="457" t="n"/>
      <c r="I1" s="457" t="n"/>
      <c r="J1" s="457" t="n"/>
      <c r="K1" s="507" t="n"/>
      <c r="M1" s="189" t="inlineStr">
        <is>
          <t>Structure Type:</t>
        </is>
      </c>
      <c r="N1" s="457" t="n"/>
      <c r="O1" s="457" t="n"/>
      <c r="P1" s="457" t="n"/>
      <c r="Q1" s="192" t="n"/>
      <c r="R1" s="457" t="n"/>
      <c r="S1" s="457" t="n"/>
      <c r="T1" s="457" t="n"/>
      <c r="U1" s="507" t="n"/>
    </row>
    <row r="2" ht="14.1" customHeight="1">
      <c r="A2" s="189" t="inlineStr">
        <is>
          <t>Job Name:</t>
        </is>
      </c>
      <c r="B2" s="457" t="n"/>
      <c r="C2" s="457" t="n"/>
      <c r="D2" s="457" t="n"/>
      <c r="E2" s="214" t="n"/>
      <c r="F2" s="457" t="n"/>
      <c r="G2" s="457" t="n"/>
      <c r="H2" s="457" t="n"/>
      <c r="I2" s="457" t="n"/>
      <c r="J2" s="457" t="n"/>
      <c r="K2" s="507" t="n"/>
      <c r="M2" s="189" t="inlineStr">
        <is>
          <t>Code &amp; Process:</t>
        </is>
      </c>
      <c r="N2" s="457" t="n"/>
      <c r="O2" s="457" t="n"/>
      <c r="P2" s="457" t="n"/>
      <c r="Q2" s="194" t="n"/>
      <c r="R2" s="458" t="n"/>
      <c r="S2" s="458" t="n"/>
      <c r="T2" s="458" t="n"/>
      <c r="U2" s="459" t="n"/>
    </row>
    <row r="3" hidden="1" ht="6.95" customHeight="1"/>
    <row r="4" ht="12.95" customHeight="1">
      <c r="A4" s="43" t="inlineStr">
        <is>
          <t>Dimensional Inspection</t>
        </is>
      </c>
      <c r="B4" s="44" t="n"/>
      <c r="C4" s="44" t="n"/>
      <c r="D4" s="44" t="n"/>
      <c r="E4" s="44" t="n"/>
      <c r="F4" s="44" t="n"/>
      <c r="G4" s="44" t="n"/>
      <c r="H4" s="44" t="n"/>
      <c r="I4" s="215" t="inlineStr">
        <is>
          <t>Print</t>
        </is>
      </c>
      <c r="K4" s="508" t="n"/>
      <c r="L4" s="215" t="inlineStr">
        <is>
          <t xml:space="preserve"> Shop Check - Dimensions</t>
        </is>
      </c>
      <c r="T4" s="508" t="n"/>
      <c r="U4" s="215" t="inlineStr">
        <is>
          <t>QC</t>
        </is>
      </c>
      <c r="V4" s="508" t="n"/>
      <c r="W4" s="509" t="n"/>
      <c r="AA4" s="508" t="n"/>
    </row>
    <row r="5" ht="12.95" customHeight="1">
      <c r="A5" s="45" t="n"/>
      <c r="B5" s="46" t="n"/>
      <c r="C5" s="46" t="n"/>
      <c r="D5" s="46" t="n"/>
      <c r="E5" s="46" t="n"/>
      <c r="F5" s="46" t="n"/>
      <c r="G5" s="46" t="n"/>
      <c r="H5" s="46" t="n"/>
      <c r="I5" s="206" t="n"/>
      <c r="J5" s="510" t="n"/>
      <c r="K5" s="511" t="n"/>
      <c r="L5" s="206" t="inlineStr">
        <is>
          <t>Actual</t>
        </is>
      </c>
      <c r="M5" s="510" t="n"/>
      <c r="N5" s="511" t="n"/>
      <c r="O5" s="206" t="inlineStr">
        <is>
          <t>Initials</t>
        </is>
      </c>
      <c r="P5" s="510" t="n"/>
      <c r="Q5" s="511" t="n"/>
      <c r="R5" s="206" t="inlineStr">
        <is>
          <t>Date</t>
        </is>
      </c>
      <c r="S5" s="510" t="n"/>
      <c r="T5" s="511" t="n"/>
      <c r="U5" s="206" t="inlineStr">
        <is>
          <t>Verify</t>
        </is>
      </c>
      <c r="V5" s="511" t="n"/>
      <c r="W5" s="512" t="inlineStr">
        <is>
          <t>Notes</t>
        </is>
      </c>
      <c r="X5" s="510" t="n"/>
      <c r="Y5" s="510" t="n"/>
      <c r="Z5" s="510" t="n"/>
      <c r="AA5" s="511" t="n"/>
    </row>
    <row r="6" ht="20.85" customHeight="1">
      <c r="A6" s="222" t="inlineStr">
        <is>
          <t>General</t>
        </is>
      </c>
      <c r="B6" s="235" t="inlineStr">
        <is>
          <t>Bridge/ Bearing Length</t>
        </is>
      </c>
      <c r="C6" s="513" t="n"/>
      <c r="D6" s="513" t="n"/>
      <c r="E6" s="513" t="n"/>
      <c r="F6" s="513" t="n"/>
      <c r="G6" s="513" t="n"/>
      <c r="H6" s="513" t="n"/>
      <c r="I6" s="79" t="n"/>
      <c r="J6" s="457" t="n"/>
      <c r="K6" s="507" t="n"/>
      <c r="L6" s="185" t="n"/>
      <c r="M6" s="513" t="n"/>
      <c r="N6" s="514" t="n"/>
      <c r="O6" s="181" t="n"/>
      <c r="P6" s="513" t="n"/>
      <c r="Q6" s="514" t="n"/>
      <c r="R6" s="181" t="n"/>
      <c r="S6" s="513" t="n"/>
      <c r="T6" s="514" t="n"/>
      <c r="U6" s="515" t="n"/>
      <c r="V6" s="516" t="n"/>
      <c r="W6" s="517" t="n"/>
      <c r="X6" s="518" t="n"/>
      <c r="Y6" s="518" t="n"/>
      <c r="Z6" s="518" t="n"/>
      <c r="AA6" s="519" t="n"/>
    </row>
    <row r="7" ht="20.85" customHeight="1">
      <c r="A7" s="508" t="n"/>
      <c r="B7" s="244" t="inlineStr">
        <is>
          <t>Camber</t>
        </is>
      </c>
      <c r="C7" s="71" t="n"/>
      <c r="D7" s="71" t="n"/>
      <c r="E7" s="71" t="n"/>
      <c r="F7" s="71" t="n"/>
      <c r="G7" s="71" t="n"/>
      <c r="H7" s="71" t="n"/>
      <c r="I7" s="241" t="n"/>
      <c r="J7" s="518" t="n"/>
      <c r="K7" s="520" t="n"/>
      <c r="L7" s="125" t="n"/>
      <c r="M7" s="71" t="n"/>
      <c r="N7" s="482" t="n"/>
      <c r="O7" s="86" t="n"/>
      <c r="P7" s="71" t="n"/>
      <c r="Q7" s="482" t="n"/>
      <c r="R7" s="86" t="n"/>
      <c r="S7" s="71" t="n"/>
      <c r="T7" s="482" t="n"/>
      <c r="U7" s="521" t="n"/>
      <c r="V7" s="522" t="n"/>
      <c r="W7" s="523" t="n"/>
      <c r="X7" s="524" t="n"/>
      <c r="Y7" s="524" t="n"/>
      <c r="Z7" s="524" t="n"/>
      <c r="AA7" s="525" t="n"/>
    </row>
    <row r="8" ht="26.25" customHeight="1" thickBot="1">
      <c r="A8" s="508" t="n"/>
      <c r="B8" s="245" t="inlineStr">
        <is>
          <t>Rail Height</t>
        </is>
      </c>
      <c r="C8" s="526" t="n"/>
      <c r="D8" s="526" t="n"/>
      <c r="E8" s="526" t="n"/>
      <c r="F8" s="526" t="n"/>
      <c r="G8" s="526" t="n"/>
      <c r="H8" s="526" t="n"/>
      <c r="I8" s="236" t="n"/>
      <c r="J8" s="527" t="n"/>
      <c r="K8" s="528" t="n"/>
      <c r="L8" s="182" t="n"/>
      <c r="M8" s="526" t="n"/>
      <c r="N8" s="529" t="n"/>
      <c r="O8" s="183" t="n"/>
      <c r="P8" s="526" t="n"/>
      <c r="Q8" s="529" t="n"/>
      <c r="R8" s="183" t="n"/>
      <c r="S8" s="526" t="n"/>
      <c r="T8" s="529" t="n"/>
      <c r="U8" s="530" t="n"/>
      <c r="V8" s="531" t="n"/>
      <c r="W8" s="210" t="n"/>
      <c r="X8" s="527" t="n"/>
      <c r="Y8" s="527" t="n"/>
      <c r="Z8" s="527" t="n"/>
      <c r="AA8" s="528" t="n"/>
    </row>
    <row r="9" hidden="1" ht="20.25" customHeight="1" thickBot="1">
      <c r="A9" s="50" t="n"/>
      <c r="B9" s="532" t="n"/>
      <c r="C9" s="533" t="n"/>
      <c r="D9" s="533" t="n"/>
      <c r="E9" s="533" t="n"/>
      <c r="F9" s="533" t="n"/>
      <c r="G9" s="533" t="n"/>
      <c r="H9" s="534" t="n"/>
      <c r="I9" s="200" t="n"/>
      <c r="J9" s="535" t="n"/>
      <c r="K9" s="536" t="n"/>
      <c r="L9" s="195" t="n"/>
      <c r="M9" s="533" t="n"/>
      <c r="N9" s="537" t="n"/>
      <c r="O9" s="196" t="n"/>
      <c r="P9" s="533" t="n"/>
      <c r="Q9" s="537" t="n"/>
      <c r="R9" s="196" t="n"/>
      <c r="S9" s="533" t="n"/>
      <c r="T9" s="537" t="n"/>
      <c r="U9" s="538" t="n"/>
      <c r="V9" s="534" t="n"/>
      <c r="W9" s="200" t="n"/>
      <c r="X9" s="535" t="n"/>
      <c r="Y9" s="535" t="n"/>
      <c r="Z9" s="535" t="n"/>
      <c r="AA9" s="536" t="n"/>
    </row>
    <row r="10" ht="20.85" customHeight="1">
      <c r="A10" s="539">
        <f>IF(Q1="Truss",Ref!B19,IF(Q1="Bolted Truss",Ref!C19,IF(Q1="Modular",Ref!D19,IF(Q1="Tower",Ref!E19,IF(Q1="Landing",Ref!G19,Ref!F19)))))</f>
        <v/>
      </c>
      <c r="B10" s="246" t="inlineStr">
        <is>
          <t>Post Block Spacing</t>
        </is>
      </c>
      <c r="C10" s="540" t="n"/>
      <c r="D10" s="540" t="n"/>
      <c r="E10" s="540" t="n"/>
      <c r="F10" s="540" t="n"/>
      <c r="G10" s="540" t="n"/>
      <c r="H10" s="540" t="n"/>
      <c r="I10" s="238" t="n"/>
      <c r="J10" s="541" t="n"/>
      <c r="K10" s="542" t="n"/>
      <c r="L10" s="126" t="n"/>
      <c r="M10" s="540" t="n"/>
      <c r="N10" s="543" t="n"/>
      <c r="O10" s="127" t="n"/>
      <c r="P10" s="540" t="n"/>
      <c r="Q10" s="543" t="n"/>
      <c r="R10" s="127" t="n"/>
      <c r="S10" s="540" t="n"/>
      <c r="T10" s="543" t="n"/>
      <c r="U10" s="544" t="n"/>
      <c r="V10" s="545" t="n"/>
      <c r="W10" s="174" t="n"/>
      <c r="X10" s="541" t="n"/>
      <c r="Y10" s="541" t="n"/>
      <c r="Z10" s="541" t="n"/>
      <c r="AA10" s="542" t="n"/>
    </row>
    <row r="11" ht="20.25" customHeight="1">
      <c r="A11" s="508" t="n"/>
      <c r="B11" s="546" t="inlineStr">
        <is>
          <t>Diaphragm Spacing</t>
        </is>
      </c>
      <c r="C11" s="71" t="n"/>
      <c r="D11" s="71" t="n"/>
      <c r="E11" s="71" t="n"/>
      <c r="F11" s="71" t="n"/>
      <c r="G11" s="71" t="n"/>
      <c r="H11" s="547" t="n"/>
      <c r="I11" s="234" t="n"/>
      <c r="L11" s="125" t="n"/>
      <c r="M11" s="71" t="n"/>
      <c r="N11" s="482" t="n"/>
      <c r="O11" s="86" t="n"/>
      <c r="P11" s="71" t="n"/>
      <c r="Q11" s="482" t="n"/>
      <c r="R11" s="86" t="n"/>
      <c r="S11" s="71" t="n"/>
      <c r="T11" s="482" t="n"/>
      <c r="U11" s="521" t="n"/>
      <c r="V11" s="522" t="n"/>
      <c r="W11" s="523" t="n"/>
      <c r="X11" s="524" t="n"/>
      <c r="Y11" s="524" t="n"/>
      <c r="Z11" s="524" t="n"/>
      <c r="AA11" s="525" t="n"/>
    </row>
    <row r="12" ht="25.5" customHeight="1">
      <c r="A12" s="508" t="n"/>
      <c r="B12" s="136" t="inlineStr">
        <is>
          <t>Deck Width</t>
        </is>
      </c>
      <c r="C12" s="71" t="n"/>
      <c r="D12" s="71" t="n"/>
      <c r="E12" s="71" t="n"/>
      <c r="F12" s="71" t="n"/>
      <c r="G12" s="71" t="n"/>
      <c r="H12" s="71" t="n"/>
      <c r="I12" s="266" t="n"/>
      <c r="J12" s="524" t="n"/>
      <c r="K12" s="548" t="n"/>
      <c r="L12" s="273" t="n"/>
      <c r="M12" s="71" t="n"/>
      <c r="N12" s="482" t="n"/>
      <c r="O12" s="86" t="n"/>
      <c r="P12" s="71" t="n"/>
      <c r="Q12" s="482" t="n"/>
      <c r="R12" s="86" t="n"/>
      <c r="S12" s="71" t="n"/>
      <c r="T12" s="482" t="n"/>
      <c r="U12" s="521" t="n"/>
      <c r="V12" s="522" t="n"/>
      <c r="W12" s="549" t="n"/>
      <c r="X12" s="524" t="n"/>
      <c r="Y12" s="524" t="n"/>
      <c r="Z12" s="524" t="n"/>
      <c r="AA12" s="525" t="n"/>
    </row>
    <row r="13" ht="27" customHeight="1">
      <c r="A13" s="508" t="n"/>
      <c r="B13" s="136" t="inlineStr">
        <is>
          <t>Side Dam Height</t>
        </is>
      </c>
      <c r="C13" s="71" t="n"/>
      <c r="D13" s="71" t="n"/>
      <c r="E13" s="71" t="n"/>
      <c r="F13" s="71" t="n"/>
      <c r="G13" s="71" t="n"/>
      <c r="H13" s="71" t="n"/>
      <c r="I13" s="230" t="n"/>
      <c r="J13" s="524" t="n"/>
      <c r="K13" s="548" t="n"/>
      <c r="L13" s="125" t="n"/>
      <c r="M13" s="71" t="n"/>
      <c r="N13" s="482" t="n"/>
      <c r="O13" s="86" t="n"/>
      <c r="P13" s="71" t="n"/>
      <c r="Q13" s="482" t="n"/>
      <c r="R13" s="86" t="n"/>
      <c r="S13" s="71" t="n"/>
      <c r="T13" s="482" t="n"/>
      <c r="U13" s="521" t="n"/>
      <c r="V13" s="522" t="n"/>
      <c r="W13" s="550" t="n"/>
      <c r="X13" s="524" t="n"/>
      <c r="Y13" s="524" t="n"/>
      <c r="Z13" s="524" t="n"/>
      <c r="AA13" s="525" t="n"/>
    </row>
    <row r="14" ht="20.85" customHeight="1" thickBot="1">
      <c r="A14" s="551" t="n"/>
      <c r="B14" s="279" t="inlineStr">
        <is>
          <t>End Dam Height</t>
        </is>
      </c>
      <c r="C14" s="552" t="n"/>
      <c r="D14" s="552" t="n"/>
      <c r="E14" s="552" t="n"/>
      <c r="F14" s="552" t="n"/>
      <c r="G14" s="552" t="n"/>
      <c r="H14" s="552" t="n"/>
      <c r="I14" s="275" t="n"/>
      <c r="J14" s="553" t="n"/>
      <c r="K14" s="554" t="n"/>
      <c r="L14" s="278" t="n"/>
      <c r="M14" s="552" t="n"/>
      <c r="N14" s="555" t="n"/>
      <c r="O14" s="258" t="n"/>
      <c r="P14" s="552" t="n"/>
      <c r="Q14" s="555" t="n"/>
      <c r="R14" s="258" t="n"/>
      <c r="S14" s="552" t="n"/>
      <c r="T14" s="555" t="n"/>
      <c r="U14" s="556" t="n"/>
      <c r="V14" s="557" t="n"/>
      <c r="W14" s="558" t="n"/>
      <c r="X14" s="553" t="n"/>
      <c r="Y14" s="553" t="n"/>
      <c r="Z14" s="553" t="n"/>
      <c r="AA14" s="559" t="n"/>
    </row>
    <row r="15" ht="20.85" customHeight="1">
      <c r="A15" s="560">
        <f>IF(Q1="Truss",Ref!B26,IF(Q1="Bolted Truss",Ref!C26,IF(Q1="Modular",Ref!D26,IF(Q1="Tower",Ref!E26,IF(Q1="Landing",Ref!G26,Ref!F26)))))</f>
        <v/>
      </c>
      <c r="B15" s="246" t="inlineStr">
        <is>
          <t>Bolts Snug Tightened</t>
        </is>
      </c>
      <c r="C15" s="540" t="n"/>
      <c r="D15" s="540" t="n"/>
      <c r="E15" s="540" t="n"/>
      <c r="F15" s="540" t="n"/>
      <c r="G15" s="540" t="n"/>
      <c r="H15" s="540" t="n"/>
      <c r="I15" s="174" t="n"/>
      <c r="J15" s="541" t="n"/>
      <c r="K15" s="542" t="n"/>
      <c r="L15" s="126" t="n"/>
      <c r="M15" s="540" t="n"/>
      <c r="N15" s="543" t="n"/>
      <c r="O15" s="127" t="n"/>
      <c r="P15" s="540" t="n"/>
      <c r="Q15" s="543" t="n"/>
      <c r="R15" s="127" t="n"/>
      <c r="S15" s="540" t="n"/>
      <c r="T15" s="543" t="n"/>
      <c r="U15" s="544" t="n"/>
      <c r="V15" s="545" t="n"/>
      <c r="W15" s="561" t="n"/>
      <c r="X15" s="541" t="n"/>
      <c r="Y15" s="541" t="n"/>
      <c r="Z15" s="541" t="n"/>
      <c r="AA15" s="562" t="n"/>
    </row>
    <row r="16" ht="20.85" customHeight="1">
      <c r="A16" s="508" t="n"/>
      <c r="B16" s="128" t="inlineStr">
        <is>
          <t xml:space="preserve">Bolts Pretensioned </t>
        </is>
      </c>
      <c r="C16" s="71" t="n"/>
      <c r="D16" s="71" t="n"/>
      <c r="E16" s="71" t="n"/>
      <c r="F16" s="71" t="n"/>
      <c r="G16" s="71" t="n"/>
      <c r="H16" s="71" t="n"/>
      <c r="I16" s="269" t="n"/>
      <c r="J16" s="524" t="n"/>
      <c r="K16" s="548" t="n"/>
      <c r="L16" s="125" t="n"/>
      <c r="M16" s="71" t="n"/>
      <c r="N16" s="482" t="n"/>
      <c r="O16" s="86" t="n"/>
      <c r="P16" s="71" t="n"/>
      <c r="Q16" s="482" t="n"/>
      <c r="R16" s="86" t="n"/>
      <c r="S16" s="71" t="n"/>
      <c r="T16" s="482" t="n"/>
      <c r="U16" s="521" t="n"/>
      <c r="V16" s="522" t="n"/>
      <c r="W16" s="523" t="n"/>
      <c r="X16" s="524" t="n"/>
      <c r="Y16" s="524" t="n"/>
      <c r="Z16" s="524" t="n"/>
      <c r="AA16" s="525" t="n"/>
    </row>
    <row r="17" ht="25.5" customHeight="1">
      <c r="A17" s="508" t="n"/>
      <c r="B17" s="136" t="inlineStr">
        <is>
          <t>Studs Qualified</t>
        </is>
      </c>
      <c r="C17" s="71" t="n"/>
      <c r="D17" s="71" t="n"/>
      <c r="E17" s="71" t="n"/>
      <c r="F17" s="71" t="n"/>
      <c r="G17" s="71" t="n"/>
      <c r="H17" s="71" t="n"/>
      <c r="I17" s="266" t="n"/>
      <c r="J17" s="524" t="n"/>
      <c r="K17" s="548" t="n"/>
      <c r="L17" s="125" t="n"/>
      <c r="M17" s="71" t="n"/>
      <c r="N17" s="482" t="n"/>
      <c r="O17" s="86" t="n"/>
      <c r="P17" s="71" t="n"/>
      <c r="Q17" s="482" t="n"/>
      <c r="R17" s="86" t="n"/>
      <c r="S17" s="71" t="n"/>
      <c r="T17" s="482" t="n"/>
      <c r="U17" s="521" t="n"/>
      <c r="V17" s="522" t="n"/>
      <c r="W17" s="549" t="n"/>
      <c r="X17" s="524" t="n"/>
      <c r="Y17" s="524" t="n"/>
      <c r="Z17" s="524" t="n"/>
      <c r="AA17" s="525" t="n"/>
    </row>
    <row r="18" ht="25.5" customHeight="1">
      <c r="A18" s="508" t="n"/>
      <c r="B18" s="136" t="inlineStr">
        <is>
          <t>Studs Pinged</t>
        </is>
      </c>
      <c r="C18" s="71" t="n"/>
      <c r="D18" s="71" t="n"/>
      <c r="E18" s="71" t="n"/>
      <c r="F18" s="71" t="n"/>
      <c r="G18" s="71" t="n"/>
      <c r="H18" s="71" t="n"/>
      <c r="I18" s="284" t="n"/>
      <c r="J18" s="524" t="n"/>
      <c r="K18" s="548" t="n"/>
      <c r="L18" s="125" t="n"/>
      <c r="M18" s="71" t="n"/>
      <c r="N18" s="482" t="n"/>
      <c r="O18" s="86" t="n"/>
      <c r="P18" s="71" t="n"/>
      <c r="Q18" s="482" t="n"/>
      <c r="R18" s="86" t="n"/>
      <c r="S18" s="71" t="n"/>
      <c r="T18" s="482" t="n"/>
      <c r="U18" s="521" t="n"/>
      <c r="V18" s="522" t="n"/>
      <c r="W18" s="563" t="n"/>
      <c r="X18" s="524" t="n"/>
      <c r="Y18" s="524" t="n"/>
      <c r="Z18" s="524" t="n"/>
      <c r="AA18" s="525" t="n"/>
    </row>
    <row r="19" ht="20.85" customHeight="1" thickBot="1">
      <c r="A19" s="551" t="n"/>
      <c r="B19" s="252" t="inlineStr">
        <is>
          <t>Studs Repaired</t>
        </is>
      </c>
      <c r="C19" s="564" t="n"/>
      <c r="D19" s="564" t="n"/>
      <c r="E19" s="564" t="n"/>
      <c r="F19" s="564" t="n"/>
      <c r="G19" s="564" t="n"/>
      <c r="H19" s="564" t="n"/>
      <c r="I19" s="129" t="n"/>
      <c r="J19" s="565" t="n"/>
      <c r="K19" s="566" t="n"/>
      <c r="L19" s="132" t="n"/>
      <c r="M19" s="564" t="n"/>
      <c r="N19" s="567" t="n"/>
      <c r="O19" s="95" t="n"/>
      <c r="P19" s="564" t="n"/>
      <c r="Q19" s="567" t="n"/>
      <c r="R19" s="95" t="n"/>
      <c r="S19" s="564" t="n"/>
      <c r="T19" s="567" t="n"/>
      <c r="U19" s="568" t="n"/>
      <c r="V19" s="551" t="n"/>
      <c r="W19" s="569" t="n"/>
      <c r="X19" s="565" t="n"/>
      <c r="Y19" s="565" t="n"/>
      <c r="Z19" s="565" t="n"/>
      <c r="AA19" s="570" t="n"/>
    </row>
    <row r="20" ht="20.85" customHeight="1">
      <c r="A20" s="59" t="n"/>
      <c r="B20" s="283" t="inlineStr">
        <is>
          <t>Verify Marking (Bridge Number, Match/Seq, High End)</t>
        </is>
      </c>
      <c r="C20" s="540" t="n"/>
      <c r="D20" s="540" t="n"/>
      <c r="E20" s="540" t="n"/>
      <c r="F20" s="540" t="n"/>
      <c r="G20" s="540" t="n"/>
      <c r="H20" s="540" t="n"/>
      <c r="I20" s="540" t="n"/>
      <c r="J20" s="540" t="n"/>
      <c r="K20" s="540" t="n"/>
      <c r="L20" s="540" t="n"/>
      <c r="M20" s="540" t="n"/>
      <c r="N20" s="540" t="n"/>
      <c r="O20" s="126" t="n"/>
      <c r="P20" s="540" t="n"/>
      <c r="Q20" s="543" t="n"/>
      <c r="R20" s="127" t="n"/>
      <c r="S20" s="540" t="n"/>
      <c r="T20" s="543" t="n"/>
      <c r="U20" s="544" t="n"/>
      <c r="V20" s="545" t="n"/>
      <c r="W20" s="561" t="n"/>
      <c r="X20" s="541" t="n"/>
      <c r="Y20" s="541" t="n"/>
      <c r="Z20" s="541" t="n"/>
      <c r="AA20" s="562" t="n"/>
    </row>
    <row r="21" ht="20.85" customHeight="1">
      <c r="A21" s="38" t="n"/>
      <c r="B21" s="133" t="inlineStr">
        <is>
          <t>Welding Complete?</t>
        </is>
      </c>
      <c r="C21" s="571" t="n"/>
      <c r="D21" s="571" t="n"/>
      <c r="E21" s="571" t="n"/>
      <c r="F21" s="571" t="n"/>
      <c r="G21" s="135" t="inlineStr">
        <is>
          <t>(Verify Truss, Safety Rail, Floor Beam, End Portal Welds)</t>
        </is>
      </c>
      <c r="H21" s="571" t="n"/>
      <c r="I21" s="571" t="n"/>
      <c r="J21" s="571" t="n"/>
      <c r="K21" s="571" t="n"/>
      <c r="L21" s="571" t="n"/>
      <c r="M21" s="571" t="n"/>
      <c r="N21" s="571" t="n"/>
      <c r="O21" s="287" t="n"/>
      <c r="P21" s="571" t="n"/>
      <c r="Q21" s="572" t="n"/>
      <c r="R21" s="289" t="n"/>
      <c r="S21" s="571" t="n"/>
      <c r="T21" s="572" t="n"/>
      <c r="U21" s="265" t="n"/>
      <c r="V21" s="573" t="n"/>
      <c r="W21" s="265" t="n"/>
      <c r="X21" s="571" t="n"/>
      <c r="Y21" s="571" t="n"/>
      <c r="Z21" s="571" t="n"/>
      <c r="AA21" s="573" t="n"/>
    </row>
    <row r="22" ht="20.85" customHeight="1">
      <c r="A22" s="38" t="n"/>
      <c r="B22" s="136" t="inlineStr">
        <is>
          <t>Weep Holes?</t>
        </is>
      </c>
      <c r="C22" s="71" t="n"/>
      <c r="D22" s="71" t="n"/>
      <c r="E22" s="71" t="n"/>
      <c r="F22" s="121" t="inlineStr">
        <is>
          <t>(Verify holes in Verticals, Chords, Diagonals, End Floor Beams, Safety Rails, etc)</t>
        </is>
      </c>
      <c r="G22" s="71" t="n"/>
      <c r="H22" s="71" t="n"/>
      <c r="I22" s="71" t="n"/>
      <c r="J22" s="71" t="n"/>
      <c r="K22" s="71" t="n"/>
      <c r="L22" s="71" t="n"/>
      <c r="M22" s="71" t="n"/>
      <c r="N22" s="71" t="n"/>
      <c r="O22" s="159" t="n"/>
      <c r="P22" s="71" t="n"/>
      <c r="Q22" s="482" t="n"/>
      <c r="R22" s="161" t="n"/>
      <c r="S22" s="71" t="n"/>
      <c r="T22" s="482" t="n"/>
      <c r="U22" s="120" t="n"/>
      <c r="V22" s="522" t="n"/>
      <c r="W22" s="120" t="n"/>
      <c r="X22" s="71" t="n"/>
      <c r="Y22" s="71" t="n"/>
      <c r="Z22" s="71" t="n"/>
      <c r="AA22" s="522" t="n"/>
    </row>
    <row r="23" ht="20.85" customHeight="1">
      <c r="A23" s="38" t="n"/>
      <c r="B23" s="141" t="inlineStr">
        <is>
          <t>Welder IDs:</t>
        </is>
      </c>
      <c r="C23" s="526" t="n"/>
      <c r="D23" s="52" t="n"/>
      <c r="E23" s="128" t="n"/>
      <c r="F23" s="121" t="n"/>
      <c r="G23" s="121" t="n"/>
      <c r="H23" s="55" t="n"/>
      <c r="I23" s="147" t="n"/>
      <c r="J23" s="71" t="n"/>
      <c r="K23" s="71" t="n"/>
      <c r="L23" s="71" t="n"/>
      <c r="M23" s="71" t="n"/>
      <c r="N23" s="71" t="n"/>
      <c r="O23" s="159" t="n"/>
      <c r="P23" s="71" t="n"/>
      <c r="Q23" s="482" t="n"/>
      <c r="R23" s="161" t="n"/>
      <c r="S23" s="71" t="n"/>
      <c r="T23" s="482" t="n"/>
      <c r="U23" s="120" t="n"/>
      <c r="V23" s="522" t="n"/>
      <c r="W23" s="120" t="n"/>
      <c r="X23" s="71" t="n"/>
      <c r="Y23" s="71" t="n"/>
      <c r="Z23" s="71" t="n"/>
      <c r="AA23" s="522" t="n"/>
    </row>
    <row r="24" ht="20.85" customHeight="1">
      <c r="A24" s="38" t="n"/>
      <c r="B24" s="574" t="n"/>
      <c r="C24" s="571" t="n"/>
      <c r="D24" s="56" t="n"/>
      <c r="E24" s="56" t="n"/>
      <c r="F24" s="56" t="n"/>
      <c r="G24" s="56" t="n"/>
      <c r="H24" s="57" t="n"/>
      <c r="I24" s="148" t="n"/>
      <c r="J24" s="575" t="n"/>
      <c r="K24" s="575" t="n"/>
      <c r="L24" s="575" t="n"/>
      <c r="M24" s="575" t="n"/>
      <c r="N24" s="575" t="n"/>
      <c r="O24" s="218" t="n"/>
      <c r="P24" s="575" t="n"/>
      <c r="Q24" s="576" t="n"/>
      <c r="R24" s="220" t="n"/>
      <c r="S24" s="575" t="n"/>
      <c r="T24" s="576" t="n"/>
      <c r="U24" s="113" t="n"/>
      <c r="V24" s="577" t="n"/>
      <c r="W24" s="113" t="n"/>
      <c r="X24" s="575" t="n"/>
      <c r="Y24" s="575" t="n"/>
      <c r="Z24" s="575" t="n"/>
      <c r="AA24" s="577" t="n"/>
    </row>
    <row r="25" ht="1.5" customHeight="1" thickBot="1"/>
    <row r="26" ht="14.25" customHeight="1">
      <c r="A26" s="578" t="inlineStr">
        <is>
          <t>Weld Inspection</t>
        </is>
      </c>
      <c r="B26" s="579" t="n"/>
      <c r="C26" s="579" t="n"/>
      <c r="D26" s="579" t="n"/>
      <c r="E26" s="579" t="n"/>
      <c r="F26" s="579" t="n"/>
      <c r="G26" s="579" t="n"/>
      <c r="H26" s="579" t="n"/>
      <c r="I26" s="579" t="n"/>
      <c r="J26" s="580" t="n"/>
      <c r="K26" s="581" t="inlineStr">
        <is>
          <t>Percent
Inspected</t>
        </is>
      </c>
      <c r="L26" s="579" t="n"/>
      <c r="M26" s="580" t="n"/>
      <c r="N26" s="581" t="inlineStr">
        <is>
          <t>Inspected
Weld Types</t>
        </is>
      </c>
      <c r="O26" s="579" t="n"/>
      <c r="P26" s="580" t="n"/>
      <c r="Q26" s="581" t="inlineStr">
        <is>
          <t>CWI/Tech
Initials</t>
        </is>
      </c>
      <c r="R26" s="579" t="n"/>
      <c r="S26" s="580" t="n"/>
      <c r="T26" s="582" t="inlineStr">
        <is>
          <t>Date</t>
        </is>
      </c>
      <c r="U26" s="579" t="n"/>
      <c r="V26" s="580" t="n"/>
      <c r="W26" s="583" t="inlineStr">
        <is>
          <t>Notes</t>
        </is>
      </c>
      <c r="X26" s="579" t="n"/>
      <c r="Y26" s="579" t="n"/>
      <c r="Z26" s="579" t="n"/>
      <c r="AA26" s="584" t="n"/>
    </row>
    <row r="27" ht="14.25" customHeight="1">
      <c r="A27" s="585" t="inlineStr">
        <is>
          <t>Method</t>
        </is>
      </c>
      <c r="E27" s="27" t="n"/>
      <c r="F27" s="323" t="inlineStr">
        <is>
          <t>Criteria</t>
        </is>
      </c>
      <c r="J27" s="27" t="n"/>
      <c r="K27" s="586" t="n"/>
      <c r="M27" s="27" t="n"/>
      <c r="N27" s="586" t="n"/>
      <c r="P27" s="27" t="n"/>
      <c r="Q27" s="586" t="n"/>
      <c r="S27" s="27" t="n"/>
      <c r="T27" s="586" t="n"/>
      <c r="V27" s="27" t="n"/>
      <c r="W27" s="586" t="n"/>
      <c r="AA27" s="587" t="n"/>
    </row>
    <row r="28" ht="24.95" customHeight="1">
      <c r="A28" s="139" t="inlineStr">
        <is>
          <t>Visual Inspection</t>
        </is>
      </c>
      <c r="B28" s="588" t="n"/>
      <c r="C28" s="588" t="n"/>
      <c r="D28" s="588" t="n"/>
      <c r="E28" s="589" t="n"/>
      <c r="F28" s="172">
        <f>IF(OR(Q2=Ref!I15,Q2=Ref!I16),Ref!I40,Ref!I39)</f>
        <v/>
      </c>
      <c r="G28" s="588" t="n"/>
      <c r="H28" s="588" t="n"/>
      <c r="I28" s="588" t="n"/>
      <c r="J28" s="589" t="n"/>
      <c r="K28" s="169" t="n">
        <v>1</v>
      </c>
      <c r="L28" s="590" t="n"/>
      <c r="M28" s="591" t="n"/>
      <c r="N28" s="99" t="inlineStr">
        <is>
          <t>All Welds</t>
        </is>
      </c>
      <c r="O28" s="588" t="n"/>
      <c r="P28" s="589" t="n"/>
      <c r="Q28" s="99" t="n"/>
      <c r="R28" s="588" t="n"/>
      <c r="S28" s="589" t="n"/>
      <c r="T28" s="99" t="n"/>
      <c r="U28" s="588" t="n"/>
      <c r="V28" s="589" t="n"/>
      <c r="W28" s="82" t="n"/>
      <c r="X28" s="590" t="n"/>
      <c r="Y28" s="590" t="n"/>
      <c r="Z28" s="590" t="n"/>
      <c r="AA28" s="591" t="n"/>
    </row>
    <row r="29" ht="25.35" customHeight="1">
      <c r="A29" s="145" t="inlineStr">
        <is>
          <t>NDT</t>
        </is>
      </c>
      <c r="B29" s="170" t="inlineStr">
        <is>
          <t>Ultrasound</t>
        </is>
      </c>
      <c r="C29" s="592" t="n"/>
      <c r="D29" s="592" t="n"/>
      <c r="E29" s="593" t="n"/>
      <c r="F29" s="173">
        <f>IF(OR(Q2=Ref!I15,Q2=Ref!I16),Ref!I32,Ref!I33)</f>
        <v/>
      </c>
      <c r="G29" s="592" t="n"/>
      <c r="H29" s="592" t="n"/>
      <c r="I29" s="592" t="n"/>
      <c r="J29" s="593" t="n"/>
      <c r="K29" s="168" t="inlineStr">
        <is>
          <t>N/A</t>
        </is>
      </c>
      <c r="L29" s="594" t="n"/>
      <c r="M29" s="595" t="n"/>
      <c r="N29" s="158" t="inlineStr">
        <is>
          <t>CJPs</t>
        </is>
      </c>
      <c r="O29" s="592" t="n"/>
      <c r="P29" s="593" t="n"/>
      <c r="Q29" s="106" t="n"/>
      <c r="R29" s="592" t="n"/>
      <c r="S29" s="593" t="n"/>
      <c r="T29" s="106" t="n"/>
      <c r="U29" s="592" t="n"/>
      <c r="V29" s="593" t="n"/>
      <c r="W29" s="80" t="n"/>
      <c r="X29" s="594" t="n"/>
      <c r="Y29" s="594" t="n"/>
      <c r="Z29" s="594" t="n"/>
      <c r="AA29" s="595" t="n"/>
    </row>
    <row r="30" ht="25.35" customHeight="1">
      <c r="A30" s="586" t="n"/>
      <c r="B30" s="170" t="inlineStr">
        <is>
          <t>Mag Particle</t>
        </is>
      </c>
      <c r="C30" s="592" t="n"/>
      <c r="D30" s="592" t="n"/>
      <c r="E30" s="593" t="n"/>
      <c r="F30" s="166">
        <f>IF(OR(Q2=Ref!I15,Q2=Ref!I16),Ref!I37,Ref!I36)</f>
        <v/>
      </c>
      <c r="G30" s="592" t="n"/>
      <c r="H30" s="592" t="n"/>
      <c r="I30" s="592" t="n"/>
      <c r="J30" s="593" t="n"/>
      <c r="K30" s="168" t="n">
        <v>0.1</v>
      </c>
      <c r="L30" s="594" t="n"/>
      <c r="M30" s="595" t="n"/>
      <c r="N30" s="137" t="inlineStr">
        <is>
          <t>FILLETS AND PJP</t>
        </is>
      </c>
      <c r="O30" s="592" t="n"/>
      <c r="P30" s="593" t="n"/>
      <c r="Q30" s="106" t="n"/>
      <c r="R30" s="592" t="n"/>
      <c r="S30" s="593" t="n"/>
      <c r="T30" s="106" t="n"/>
      <c r="U30" s="592" t="n"/>
      <c r="V30" s="593" t="n"/>
      <c r="W30" s="80" t="n"/>
      <c r="X30" s="594" t="n"/>
      <c r="Y30" s="594" t="n"/>
      <c r="Z30" s="594" t="n"/>
      <c r="AA30" s="595" t="n"/>
    </row>
    <row r="31" ht="25.35" customHeight="1" thickBot="1">
      <c r="A31" s="596" t="n"/>
      <c r="B31" s="163" t="inlineStr">
        <is>
          <t>Mag Particle</t>
        </is>
      </c>
      <c r="C31" s="597" t="n"/>
      <c r="D31" s="597" t="n"/>
      <c r="E31" s="598" t="n"/>
      <c r="F31" s="599">
        <f>IF(OR(Q2=Ref!I15,Q2=Ref!I16),Ref!I37,Ref!I36)</f>
        <v/>
      </c>
      <c r="G31" s="597" t="n"/>
      <c r="H31" s="597" t="n"/>
      <c r="I31" s="597" t="n"/>
      <c r="J31" s="598" t="n"/>
      <c r="K31" s="165" t="inlineStr">
        <is>
          <t>N/A</t>
        </is>
      </c>
      <c r="L31" s="600" t="n"/>
      <c r="M31" s="601" t="n"/>
      <c r="N31" s="122" t="inlineStr">
        <is>
          <t>CJP'S &amp; BOTTOM CHORD WELDS</t>
        </is>
      </c>
      <c r="O31" s="597" t="n"/>
      <c r="P31" s="598" t="n"/>
      <c r="Q31" s="124" t="n"/>
      <c r="R31" s="597" t="n"/>
      <c r="S31" s="598" t="n"/>
      <c r="T31" s="124" t="n"/>
      <c r="U31" s="597" t="n"/>
      <c r="V31" s="598" t="n"/>
      <c r="W31" s="84" t="n"/>
      <c r="X31" s="600" t="n"/>
      <c r="Y31" s="600" t="n"/>
      <c r="Z31" s="600" t="n"/>
      <c r="AA31" s="601" t="n"/>
    </row>
    <row r="32" ht="18" customHeight="1">
      <c r="A32" s="23" t="inlineStr">
        <is>
          <t>Quality Incident Written?</t>
        </is>
      </c>
      <c r="B32" s="22" t="n"/>
      <c r="C32" s="22" t="n"/>
      <c r="D32" s="22" t="n"/>
      <c r="E32" s="24" t="n"/>
      <c r="F32" s="29" t="n"/>
      <c r="G32" s="29" t="n"/>
      <c r="H32" s="29" t="n"/>
      <c r="I32" s="29" t="n"/>
      <c r="J32" s="29" t="n"/>
      <c r="K32" s="29" t="n"/>
      <c r="L32" s="29" t="n"/>
      <c r="M32" s="29" t="n"/>
      <c r="N32" s="29" t="n"/>
      <c r="O32" s="29" t="n"/>
      <c r="P32" s="29" t="n"/>
      <c r="Q32" s="29" t="n"/>
      <c r="R32" s="29" t="n"/>
      <c r="S32" s="29" t="n"/>
      <c r="T32" s="34" t="n"/>
      <c r="U32" s="22" t="n"/>
      <c r="V32" s="22" t="n"/>
      <c r="W32" s="24" t="n"/>
      <c r="X32" s="30" t="inlineStr">
        <is>
          <t>Repairs Inspected?</t>
        </is>
      </c>
      <c r="Y32" s="29" t="n"/>
      <c r="Z32" s="29" t="n"/>
      <c r="AA32" s="35" t="n"/>
    </row>
    <row r="33" ht="18" customFormat="1" customHeight="1" s="15">
      <c r="A33" s="63" t="inlineStr">
        <is>
          <t>Final Fabrication</t>
        </is>
      </c>
      <c r="B33" s="67" t="n"/>
      <c r="C33" s="67" t="n"/>
      <c r="D33" s="67" t="n"/>
      <c r="E33" s="67" t="n"/>
      <c r="F33" s="67" t="n"/>
      <c r="G33" s="67" t="n"/>
      <c r="H33" s="67" t="n"/>
      <c r="I33" s="67" t="n"/>
      <c r="J33" s="67" t="n"/>
      <c r="K33" s="67" t="n"/>
      <c r="L33" s="67" t="n"/>
      <c r="M33" s="67" t="n"/>
      <c r="N33" s="67" t="n"/>
      <c r="O33" s="67" t="n"/>
      <c r="P33" s="67" t="n"/>
      <c r="Q33" s="67" t="n"/>
      <c r="R33" s="67" t="n"/>
      <c r="S33" s="67" t="n"/>
      <c r="T33" s="67" t="n"/>
      <c r="U33" s="67" t="n"/>
      <c r="V33" s="67" t="n"/>
      <c r="W33" s="67" t="n"/>
      <c r="X33" s="68" t="n"/>
      <c r="Y33" s="67" t="n"/>
      <c r="Z33" s="67" t="n"/>
      <c r="AA33" s="69" t="n"/>
    </row>
    <row r="34" ht="15" customHeight="1">
      <c r="A34" s="60" t="inlineStr">
        <is>
          <t>Reviewed above information and confirmed accuracy.</t>
        </is>
      </c>
      <c r="B34" s="61" t="n"/>
      <c r="C34" s="61" t="n"/>
      <c r="D34" s="61" t="n"/>
      <c r="E34" s="61" t="n"/>
      <c r="F34" s="61" t="n"/>
      <c r="G34" s="61" t="n"/>
      <c r="H34" s="61" t="n"/>
      <c r="I34" s="61" t="n"/>
      <c r="J34" s="61" t="n"/>
      <c r="K34" s="61" t="n"/>
      <c r="L34" s="61" t="inlineStr">
        <is>
          <t>All weld testing and dimensional inspections completed and documented.</t>
        </is>
      </c>
      <c r="M34" s="61" t="n"/>
      <c r="N34" s="61" t="n"/>
      <c r="O34" s="61" t="n"/>
      <c r="P34" s="61" t="n"/>
      <c r="Q34" s="61" t="n"/>
      <c r="R34" s="61" t="n"/>
      <c r="S34" s="61" t="n"/>
      <c r="T34" s="61" t="n"/>
      <c r="U34" s="61" t="n"/>
      <c r="V34" s="61" t="n"/>
      <c r="W34" s="61" t="n"/>
      <c r="X34" s="61" t="n"/>
      <c r="Y34" s="61" t="n"/>
      <c r="Z34" s="61" t="n"/>
      <c r="AA34" s="62" t="n"/>
    </row>
    <row r="35" ht="28.5" customHeight="1" thickBot="1">
      <c r="A35" s="31" t="inlineStr">
        <is>
          <t>QC Signature:</t>
        </is>
      </c>
      <c r="B35" s="31" t="n"/>
      <c r="C35" s="31" t="n"/>
      <c r="D35" s="32" t="n"/>
      <c r="E35" s="33" t="n"/>
      <c r="F35" s="33" t="n"/>
      <c r="G35" s="33" t="n"/>
      <c r="H35" s="33" t="n"/>
      <c r="I35" s="33" t="n"/>
      <c r="J35" s="33" t="n"/>
      <c r="K35" s="33" t="n"/>
      <c r="L35" s="33" t="n"/>
      <c r="M35" s="33" t="n"/>
      <c r="N35" s="33" t="n"/>
      <c r="O35" s="33" t="n"/>
      <c r="P35" s="33" t="n"/>
      <c r="Q35" s="33" t="n"/>
      <c r="R35" s="33" t="n"/>
      <c r="S35" s="33" t="n"/>
      <c r="T35" s="33" t="n"/>
      <c r="U35" s="33" t="n"/>
      <c r="V35" s="37" t="n"/>
      <c r="W35" s="33" t="n"/>
      <c r="X35" s="33" t="inlineStr">
        <is>
          <t>Date:</t>
        </is>
      </c>
      <c r="Y35" s="33" t="n"/>
      <c r="Z35" s="33" t="n"/>
      <c r="AA35" s="36" t="n"/>
    </row>
    <row r="36" ht="21.6" customHeight="1"/>
    <row r="37" ht="21.6" customHeight="1"/>
  </sheetData>
  <mergeCells count="184">
    <mergeCell ref="Q29:S29"/>
    <mergeCell ref="U15:V15"/>
    <mergeCell ref="O22:Q22"/>
    <mergeCell ref="A29:A31"/>
    <mergeCell ref="Q31:S31"/>
    <mergeCell ref="W5:AA5"/>
    <mergeCell ref="R20:T20"/>
    <mergeCell ref="L4:T4"/>
    <mergeCell ref="O21:Q21"/>
    <mergeCell ref="N28:P28"/>
    <mergeCell ref="R22:T22"/>
    <mergeCell ref="I8:K8"/>
    <mergeCell ref="L9:N9"/>
    <mergeCell ref="I23:N23"/>
    <mergeCell ref="B16:H16"/>
    <mergeCell ref="I17:K17"/>
    <mergeCell ref="U16:V16"/>
    <mergeCell ref="T31:V31"/>
    <mergeCell ref="B22:E22"/>
    <mergeCell ref="N30:P30"/>
    <mergeCell ref="B31:E31"/>
    <mergeCell ref="Q26:S27"/>
    <mergeCell ref="I10:K10"/>
    <mergeCell ref="L11:N11"/>
    <mergeCell ref="W7:AA7"/>
    <mergeCell ref="B18:H18"/>
    <mergeCell ref="T28:V28"/>
    <mergeCell ref="A15:A19"/>
    <mergeCell ref="W16:AA16"/>
    <mergeCell ref="Q1:U1"/>
    <mergeCell ref="R5:T5"/>
    <mergeCell ref="R14:T14"/>
    <mergeCell ref="R23:T23"/>
    <mergeCell ref="F31:J31"/>
    <mergeCell ref="B11:H11"/>
    <mergeCell ref="T30:V30"/>
    <mergeCell ref="A6:A8"/>
    <mergeCell ref="O10:Q10"/>
    <mergeCell ref="W18:AA18"/>
    <mergeCell ref="O19:Q19"/>
    <mergeCell ref="T29:V29"/>
    <mergeCell ref="W8:AA8"/>
    <mergeCell ref="L13:N13"/>
    <mergeCell ref="U20:V20"/>
    <mergeCell ref="O9:Q9"/>
    <mergeCell ref="U5:V5"/>
    <mergeCell ref="U14:V14"/>
    <mergeCell ref="A2:D2"/>
    <mergeCell ref="K29:M29"/>
    <mergeCell ref="W26:AA27"/>
    <mergeCell ref="R24:T24"/>
    <mergeCell ref="U4:V4"/>
    <mergeCell ref="O5:Q5"/>
    <mergeCell ref="U22:V22"/>
    <mergeCell ref="L15:N15"/>
    <mergeCell ref="L18:N18"/>
    <mergeCell ref="U6:V6"/>
    <mergeCell ref="K31:M31"/>
    <mergeCell ref="B6:H6"/>
    <mergeCell ref="L8:N8"/>
    <mergeCell ref="B15:H15"/>
    <mergeCell ref="I12:K12"/>
    <mergeCell ref="W30:AA30"/>
    <mergeCell ref="L10:N10"/>
    <mergeCell ref="I14:K14"/>
    <mergeCell ref="W20:AA20"/>
    <mergeCell ref="N26:P27"/>
    <mergeCell ref="O12:Q12"/>
    <mergeCell ref="R17:T17"/>
    <mergeCell ref="B7:H7"/>
    <mergeCell ref="I4:K4"/>
    <mergeCell ref="K26:M27"/>
    <mergeCell ref="U13:V13"/>
    <mergeCell ref="W22:AA22"/>
    <mergeCell ref="U7:V7"/>
    <mergeCell ref="O14:Q14"/>
    <mergeCell ref="W31:AA31"/>
    <mergeCell ref="O23:Q23"/>
    <mergeCell ref="W12:AA12"/>
    <mergeCell ref="W21:AA21"/>
    <mergeCell ref="O13:Q13"/>
    <mergeCell ref="R9:T9"/>
    <mergeCell ref="O7:Q7"/>
    <mergeCell ref="U24:V24"/>
    <mergeCell ref="U18:V18"/>
    <mergeCell ref="U8:V8"/>
    <mergeCell ref="B8:H8"/>
    <mergeCell ref="O15:Q15"/>
    <mergeCell ref="R11:T11"/>
    <mergeCell ref="B17:H17"/>
    <mergeCell ref="O24:Q24"/>
    <mergeCell ref="O18:Q18"/>
    <mergeCell ref="R13:T13"/>
    <mergeCell ref="B29:E29"/>
    <mergeCell ref="B23:C24"/>
    <mergeCell ref="U10:V10"/>
    <mergeCell ref="B10:H10"/>
    <mergeCell ref="L12:N12"/>
    <mergeCell ref="U19:V19"/>
    <mergeCell ref="B19:H19"/>
    <mergeCell ref="W4:AA4"/>
    <mergeCell ref="R6:T6"/>
    <mergeCell ref="R15:T15"/>
    <mergeCell ref="U9:V9"/>
    <mergeCell ref="F29:J29"/>
    <mergeCell ref="B9:H9"/>
    <mergeCell ref="G21:N21"/>
    <mergeCell ref="L14:N14"/>
    <mergeCell ref="W10:AA10"/>
    <mergeCell ref="R12:T12"/>
    <mergeCell ref="R21:T21"/>
    <mergeCell ref="B21:F21"/>
    <mergeCell ref="I5:K5"/>
    <mergeCell ref="O20:Q20"/>
    <mergeCell ref="F22:N22"/>
    <mergeCell ref="A10:A14"/>
    <mergeCell ref="Q30:S30"/>
    <mergeCell ref="O17:Q17"/>
    <mergeCell ref="A1:D1"/>
    <mergeCell ref="U12:V12"/>
    <mergeCell ref="I13:K13"/>
    <mergeCell ref="U21:V21"/>
    <mergeCell ref="M1:P1"/>
    <mergeCell ref="L17:N17"/>
    <mergeCell ref="I15:K15"/>
    <mergeCell ref="F27:J27"/>
    <mergeCell ref="W9:AA9"/>
    <mergeCell ref="O6:Q6"/>
    <mergeCell ref="B13:H13"/>
    <mergeCell ref="R19:T19"/>
    <mergeCell ref="A28:E28"/>
    <mergeCell ref="L19:N19"/>
    <mergeCell ref="W14:AA14"/>
    <mergeCell ref="W29:AA29"/>
    <mergeCell ref="W23:AA23"/>
    <mergeCell ref="E2:K2"/>
    <mergeCell ref="I7:K7"/>
    <mergeCell ref="W13:AA13"/>
    <mergeCell ref="I16:K16"/>
    <mergeCell ref="L5:N5"/>
    <mergeCell ref="W6:AA6"/>
    <mergeCell ref="B30:E30"/>
    <mergeCell ref="W15:AA15"/>
    <mergeCell ref="I18:K18"/>
    <mergeCell ref="W24:AA24"/>
    <mergeCell ref="O16:Q16"/>
    <mergeCell ref="B20:N20"/>
    <mergeCell ref="N29:P29"/>
    <mergeCell ref="F30:J30"/>
    <mergeCell ref="I24:N24"/>
    <mergeCell ref="U17:V17"/>
    <mergeCell ref="U11:V11"/>
    <mergeCell ref="N31:P31"/>
    <mergeCell ref="O8:Q8"/>
    <mergeCell ref="L6:N6"/>
    <mergeCell ref="A27:E27"/>
    <mergeCell ref="O11:Q11"/>
    <mergeCell ref="I19:K19"/>
    <mergeCell ref="K28:M28"/>
    <mergeCell ref="B12:H12"/>
    <mergeCell ref="I9:K9"/>
    <mergeCell ref="R18:T18"/>
    <mergeCell ref="F28:J28"/>
    <mergeCell ref="M2:P2"/>
    <mergeCell ref="R8:T8"/>
    <mergeCell ref="T26:V27"/>
    <mergeCell ref="E1:K1"/>
    <mergeCell ref="K30:M30"/>
    <mergeCell ref="L7:N7"/>
    <mergeCell ref="I6:K6"/>
    <mergeCell ref="B14:H14"/>
    <mergeCell ref="I11:K11"/>
    <mergeCell ref="L16:N16"/>
    <mergeCell ref="W17:AA17"/>
    <mergeCell ref="Q28:S28"/>
    <mergeCell ref="W11:AA11"/>
    <mergeCell ref="Q2:U2"/>
    <mergeCell ref="R10:T10"/>
    <mergeCell ref="U23:V23"/>
    <mergeCell ref="A26:J26"/>
    <mergeCell ref="W19:AA19"/>
    <mergeCell ref="R7:T7"/>
    <mergeCell ref="W28:AA28"/>
    <mergeCell ref="R16:T16"/>
  </mergeCells>
  <conditionalFormatting sqref="K29:M31">
    <cfRule type="cellIs" priority="1" operator="greaterThan" dxfId="0">
      <formula>0</formula>
    </cfRule>
  </conditionalFormatting>
  <pageMargins left="0.25" right="0.25" top="1.25" bottom="0.5" header="0.3" footer="0.3"/>
  <pageSetup orientation="portrait"/>
  <headerFooter>
    <oddHeader>&amp;L&amp;G&amp;R&amp;"-,Bold"&amp;16 QC Report - Fabrication</oddHeader>
    <oddFooter>&amp;LR9.5&amp;C"Meet or exceed requirements agreed to with all Contech Customers"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30"/>
  <sheetViews>
    <sheetView showGridLines="0" tabSelected="1" showRuler="0" view="pageLayout" zoomScale="130" zoomScaleNormal="100" zoomScalePageLayoutView="130" workbookViewId="0">
      <selection activeCell="E2" sqref="E2:K2"/>
    </sheetView>
  </sheetViews>
  <sheetFormatPr baseColWidth="8" defaultColWidth="9.140625" defaultRowHeight="15"/>
  <cols>
    <col width="3.7109375" customWidth="1" style="16" min="1" max="1"/>
    <col width="3.7109375" customWidth="1" min="2" max="27"/>
  </cols>
  <sheetData>
    <row r="1" ht="15" customHeight="1">
      <c r="A1" s="189" t="inlineStr">
        <is>
          <t>Job Number:</t>
        </is>
      </c>
      <c r="B1" s="457" t="n"/>
      <c r="C1" s="457" t="n"/>
      <c r="D1" s="457" t="n"/>
      <c r="E1" s="214" t="n"/>
      <c r="F1" s="457" t="n"/>
      <c r="G1" s="457" t="n"/>
      <c r="H1" s="457" t="n"/>
      <c r="I1" s="457" t="n"/>
      <c r="J1" s="457" t="n"/>
      <c r="K1" s="507" t="n"/>
      <c r="M1" s="424" t="inlineStr">
        <is>
          <t>Structure Type:</t>
        </is>
      </c>
      <c r="N1" s="457" t="n"/>
      <c r="O1" s="457" t="n"/>
      <c r="P1" s="457" t="n"/>
      <c r="Q1" s="192">
        <f>'Pre-Fab'!Q1</f>
        <v/>
      </c>
      <c r="R1" s="457" t="n"/>
      <c r="S1" s="457" t="n"/>
      <c r="T1" s="457" t="n"/>
      <c r="U1" s="507" t="n"/>
    </row>
    <row r="2" ht="15" customHeight="1">
      <c r="A2" s="189" t="inlineStr">
        <is>
          <t>Job Name:</t>
        </is>
      </c>
      <c r="B2" s="457" t="n"/>
      <c r="C2" s="457" t="n"/>
      <c r="D2" s="457" t="n"/>
      <c r="E2" s="214" t="n"/>
      <c r="F2" s="457" t="n"/>
      <c r="G2" s="457" t="n"/>
      <c r="H2" s="457" t="n"/>
      <c r="I2" s="457" t="n"/>
      <c r="J2" s="457" t="n"/>
      <c r="K2" s="507" t="n"/>
    </row>
    <row r="3">
      <c r="B3" s="15" t="n"/>
      <c r="C3" s="15" t="n"/>
      <c r="D3" s="15" t="n"/>
      <c r="E3" s="104" t="n"/>
      <c r="L3" s="15" t="n"/>
      <c r="M3" s="15" t="n"/>
      <c r="N3" s="15" t="n"/>
      <c r="O3" s="427" t="inlineStr">
        <is>
          <t>Shop Check</t>
        </is>
      </c>
      <c r="T3" s="27" t="n"/>
    </row>
    <row r="4">
      <c r="A4" s="48" t="inlineStr">
        <is>
          <t>Process</t>
        </is>
      </c>
      <c r="B4" s="49" t="n"/>
      <c r="C4" s="49" t="n"/>
      <c r="D4" s="51" t="n"/>
      <c r="E4" s="432" t="inlineStr">
        <is>
          <t>Type/Spec</t>
        </is>
      </c>
      <c r="F4" s="465" t="n"/>
      <c r="G4" s="465" t="n"/>
      <c r="H4" s="465" t="n"/>
      <c r="I4" s="465" t="n"/>
      <c r="J4" s="465" t="n"/>
      <c r="K4" s="28" t="n"/>
      <c r="L4" s="324" t="inlineStr">
        <is>
          <t>OP Initials</t>
        </is>
      </c>
      <c r="M4" s="465" t="n"/>
      <c r="N4" s="28" t="n"/>
      <c r="O4" s="433" t="inlineStr">
        <is>
          <t>Initials</t>
        </is>
      </c>
      <c r="P4" s="465" t="n"/>
      <c r="Q4" s="28" t="n"/>
      <c r="R4" s="324" t="inlineStr">
        <is>
          <t>Date</t>
        </is>
      </c>
      <c r="S4" s="465" t="n"/>
      <c r="T4" s="28" t="n"/>
      <c r="U4" s="430" t="inlineStr">
        <is>
          <t>Notes</t>
        </is>
      </c>
      <c r="V4" s="465" t="n"/>
      <c r="W4" s="465" t="n"/>
      <c r="X4" s="465" t="n"/>
      <c r="Y4" s="465" t="n"/>
      <c r="Z4" s="465" t="n"/>
      <c r="AA4" s="28" t="n"/>
    </row>
    <row r="5" ht="43.35" customHeight="1">
      <c r="A5" s="412" t="inlineStr">
        <is>
          <t>Blasting</t>
        </is>
      </c>
      <c r="B5" s="588" t="n"/>
      <c r="C5" s="588" t="n"/>
      <c r="D5" s="602" t="n"/>
      <c r="E5" s="415" t="n"/>
      <c r="F5" s="590" t="n"/>
      <c r="G5" s="590" t="n"/>
      <c r="H5" s="590" t="n"/>
      <c r="I5" s="590" t="n"/>
      <c r="J5" s="590" t="n"/>
      <c r="K5" s="603" t="n"/>
      <c r="L5" s="399" t="n"/>
      <c r="M5" s="588" t="n"/>
      <c r="N5" s="602" t="n"/>
      <c r="O5" s="398" t="n"/>
      <c r="P5" s="588" t="n"/>
      <c r="Q5" s="602" t="n"/>
      <c r="R5" s="399" t="n"/>
      <c r="S5" s="588" t="n"/>
      <c r="T5" s="602" t="n"/>
      <c r="U5" s="407" t="n"/>
      <c r="V5" s="590" t="n"/>
      <c r="W5" s="590" t="n"/>
      <c r="X5" s="590" t="n"/>
      <c r="Y5" s="590" t="n"/>
      <c r="Z5" s="590" t="n"/>
      <c r="AA5" s="603" t="n"/>
    </row>
    <row r="6" ht="43.35" customHeight="1">
      <c r="A6" s="414" t="inlineStr">
        <is>
          <t>Coating</t>
        </is>
      </c>
      <c r="B6" s="592" t="n"/>
      <c r="C6" s="592" t="n"/>
      <c r="D6" s="604" t="n"/>
      <c r="E6" s="386" t="n"/>
      <c r="F6" s="594" t="n"/>
      <c r="G6" s="594" t="n"/>
      <c r="H6" s="594" t="n"/>
      <c r="I6" s="594" t="n"/>
      <c r="J6" s="594" t="n"/>
      <c r="K6" s="605" t="n"/>
      <c r="L6" s="401" t="n"/>
      <c r="M6" s="592" t="n"/>
      <c r="N6" s="604" t="n"/>
      <c r="O6" s="400" t="n"/>
      <c r="P6" s="592" t="n"/>
      <c r="Q6" s="604" t="n"/>
      <c r="R6" s="401" t="n"/>
      <c r="S6" s="592" t="n"/>
      <c r="T6" s="604" t="n"/>
      <c r="U6" s="402" t="n"/>
      <c r="V6" s="594" t="n"/>
      <c r="W6" s="594" t="n"/>
      <c r="X6" s="594" t="n"/>
      <c r="Y6" s="594" t="n"/>
      <c r="Z6" s="594" t="n"/>
      <c r="AA6" s="605" t="n"/>
    </row>
    <row r="7" ht="43.35" customHeight="1">
      <c r="A7" s="393" t="n"/>
      <c r="B7" s="394">
        <f>IF($Q$1="Truss",Ref!B37,IF($Q$1="Bolted Truss",Ref!C37,IF($Q$1="Modular",Ref!D37,IF($Q$1="Tower",Ref!E37,IF($Q$1="Landing",Ref!G37,Ref!F37)))))</f>
        <v/>
      </c>
      <c r="C7" s="592" t="n"/>
      <c r="D7" s="604" t="n"/>
      <c r="E7" s="384" t="n"/>
      <c r="F7" s="594" t="n"/>
      <c r="G7" s="594" t="n"/>
      <c r="H7" s="594" t="n"/>
      <c r="I7" s="594" t="n"/>
      <c r="J7" s="594" t="n"/>
      <c r="K7" s="605" t="n"/>
      <c r="L7" s="401" t="n"/>
      <c r="M7" s="592" t="n"/>
      <c r="N7" s="604" t="n"/>
      <c r="O7" s="400" t="n"/>
      <c r="P7" s="592" t="n"/>
      <c r="Q7" s="604" t="n"/>
      <c r="R7" s="401" t="n"/>
      <c r="S7" s="592" t="n"/>
      <c r="T7" s="604" t="n"/>
      <c r="U7" s="402" t="n"/>
      <c r="V7" s="594" t="n"/>
      <c r="W7" s="594" t="n"/>
      <c r="X7" s="594" t="n"/>
      <c r="Y7" s="594" t="n"/>
      <c r="Z7" s="594" t="n"/>
      <c r="AA7" s="605" t="n"/>
    </row>
    <row r="8" ht="36" customHeight="1">
      <c r="A8" s="606" t="n"/>
      <c r="B8" s="394">
        <f>IF($Q$1="Truss",Ref!B38,IF($Q$1="Bolted Truss",Ref!C38,IF($Q$1="Modular",Ref!D38,IF($Q$1="Tower",Ref!E38,IF($Q$1="Landing",Ref!G38,Ref!F38)))))</f>
        <v/>
      </c>
      <c r="C8" s="592" t="n"/>
      <c r="D8" s="604" t="n"/>
      <c r="E8" s="385" t="n"/>
      <c r="F8" s="594" t="n"/>
      <c r="G8" s="594" t="n"/>
      <c r="H8" s="594" t="n"/>
      <c r="I8" s="594" t="n"/>
      <c r="J8" s="594" t="n"/>
      <c r="K8" s="605" t="n"/>
      <c r="L8" s="401" t="n"/>
      <c r="M8" s="592" t="n"/>
      <c r="N8" s="604" t="n"/>
      <c r="O8" s="400" t="n"/>
      <c r="P8" s="592" t="n"/>
      <c r="Q8" s="604" t="n"/>
      <c r="R8" s="401" t="n"/>
      <c r="S8" s="592" t="n"/>
      <c r="T8" s="604" t="n"/>
      <c r="U8" s="402" t="n"/>
      <c r="V8" s="594" t="n"/>
      <c r="W8" s="594" t="n"/>
      <c r="X8" s="594" t="n"/>
      <c r="Y8" s="594" t="n"/>
      <c r="Z8" s="594" t="n"/>
      <c r="AA8" s="605" t="n"/>
    </row>
    <row r="9" ht="36" customHeight="1">
      <c r="A9" s="607" t="n"/>
      <c r="B9" s="394">
        <f>IF($Q$1="Truss",Ref!B39,IF($Q$1="Bolted Truss",Ref!C39,IF($Q$1="Modular",Ref!D39,IF($Q$1="Tower",Ref!E39,IF($Q$1="Landing",Ref!G38,Ref!F38)))))</f>
        <v/>
      </c>
      <c r="C9" s="592" t="n"/>
      <c r="D9" s="604" t="n"/>
      <c r="E9" s="386" t="n"/>
      <c r="F9" s="594" t="n"/>
      <c r="G9" s="594" t="n"/>
      <c r="H9" s="594" t="n"/>
      <c r="I9" s="594" t="n"/>
      <c r="J9" s="594" t="n"/>
      <c r="K9" s="605" t="n"/>
      <c r="L9" s="401" t="n"/>
      <c r="M9" s="592" t="n"/>
      <c r="N9" s="604" t="n"/>
      <c r="O9" s="400" t="n"/>
      <c r="P9" s="592" t="n"/>
      <c r="Q9" s="604" t="n"/>
      <c r="R9" s="401" t="n"/>
      <c r="S9" s="592" t="n"/>
      <c r="T9" s="604" t="n"/>
      <c r="U9" s="402" t="n"/>
      <c r="V9" s="594" t="n"/>
      <c r="W9" s="594" t="n"/>
      <c r="X9" s="594" t="n"/>
      <c r="Y9" s="594" t="n"/>
      <c r="Z9" s="594" t="n"/>
      <c r="AA9" s="605" t="n"/>
    </row>
    <row r="10" ht="18" customHeight="1">
      <c r="A10" s="382" t="inlineStr">
        <is>
          <t>Plaque</t>
        </is>
      </c>
      <c r="B10" s="608" t="n"/>
      <c r="C10" s="608" t="n"/>
      <c r="D10" s="609" t="n"/>
      <c r="E10" s="396" t="n"/>
      <c r="F10" s="610" t="n"/>
      <c r="G10" s="610" t="n"/>
      <c r="H10" s="610" t="n"/>
      <c r="I10" s="390" t="n"/>
      <c r="J10" s="610" t="n"/>
      <c r="K10" s="611" t="n"/>
      <c r="L10" s="401" t="n"/>
      <c r="M10" s="608" t="n"/>
      <c r="N10" s="609" t="n"/>
      <c r="O10" s="400" t="n"/>
      <c r="P10" s="608" t="n"/>
      <c r="Q10" s="609" t="n"/>
      <c r="R10" s="401" t="n"/>
      <c r="S10" s="608" t="n"/>
      <c r="T10" s="609" t="n"/>
      <c r="U10" s="402" t="n"/>
      <c r="V10" s="610" t="n"/>
      <c r="W10" s="610" t="n"/>
      <c r="X10" s="610" t="n"/>
      <c r="Y10" s="610" t="n"/>
      <c r="Z10" s="610" t="n"/>
      <c r="AA10" s="611" t="n"/>
    </row>
    <row r="11" ht="18" customHeight="1">
      <c r="A11" s="586" t="n"/>
      <c r="D11" s="612" t="n"/>
      <c r="E11" s="378" t="inlineStr">
        <is>
          <t>Vehicle</t>
        </is>
      </c>
      <c r="F11" s="613" t="n"/>
      <c r="G11" s="613" t="n"/>
      <c r="H11" s="613" t="n"/>
      <c r="I11" s="388" t="n"/>
      <c r="K11" s="612" t="n"/>
      <c r="L11" s="614" t="n"/>
      <c r="N11" s="612" t="n"/>
      <c r="O11" s="615" t="n"/>
      <c r="Q11" s="612" t="n"/>
      <c r="R11" s="614" t="n"/>
      <c r="T11" s="612" t="n"/>
      <c r="U11" s="613" t="n"/>
      <c r="V11" s="613" t="n"/>
      <c r="W11" s="613" t="n"/>
      <c r="X11" s="613" t="n"/>
      <c r="Y11" s="613" t="n"/>
      <c r="Z11" s="613" t="n"/>
      <c r="AA11" s="616" t="n"/>
    </row>
    <row r="12" ht="18" customHeight="1">
      <c r="A12" s="596" t="n"/>
      <c r="B12" s="617" t="n"/>
      <c r="C12" s="617" t="n"/>
      <c r="D12" s="618" t="n"/>
      <c r="E12" s="380" t="inlineStr">
        <is>
          <t>838093-010</t>
        </is>
      </c>
      <c r="F12" s="617" t="n"/>
      <c r="G12" s="617" t="n"/>
      <c r="H12" s="617" t="n"/>
      <c r="I12" s="392" t="n"/>
      <c r="J12" s="617" t="n"/>
      <c r="K12" s="618" t="n"/>
      <c r="L12" s="619" t="n"/>
      <c r="M12" s="617" t="n"/>
      <c r="N12" s="618" t="n"/>
      <c r="O12" s="620" t="n"/>
      <c r="P12" s="617" t="n"/>
      <c r="Q12" s="618" t="n"/>
      <c r="R12" s="619" t="n"/>
      <c r="S12" s="617" t="n"/>
      <c r="T12" s="618" t="n"/>
      <c r="U12" s="621" t="n"/>
      <c r="V12" s="621" t="n"/>
      <c r="W12" s="621" t="n"/>
      <c r="X12" s="621" t="n"/>
      <c r="Y12" s="621" t="n"/>
      <c r="Z12" s="621" t="n"/>
      <c r="AA12" s="622" t="n"/>
    </row>
    <row r="13" ht="25.35" customHeight="1">
      <c r="A13" s="369" t="n"/>
      <c r="B13" s="623" t="n"/>
      <c r="C13" s="623" t="n"/>
      <c r="D13" s="623" t="n"/>
      <c r="E13" s="623" t="n"/>
      <c r="F13" s="623" t="n"/>
      <c r="G13" s="623" t="n"/>
      <c r="H13" s="623" t="n"/>
      <c r="I13" s="623" t="n"/>
      <c r="J13" s="623" t="n"/>
      <c r="K13" s="624" t="n"/>
      <c r="L13" s="371" t="n"/>
      <c r="M13" s="623" t="n"/>
      <c r="N13" s="624" t="n"/>
      <c r="O13" s="373" t="n"/>
      <c r="P13" s="623" t="n"/>
      <c r="Q13" s="624" t="n"/>
      <c r="R13" s="371" t="n"/>
      <c r="S13" s="623" t="n"/>
      <c r="T13" s="624" t="n"/>
      <c r="U13" s="375" t="n"/>
      <c r="V13" s="625" t="n"/>
      <c r="W13" s="625" t="n"/>
      <c r="X13" s="625" t="n"/>
      <c r="Y13" s="625" t="n"/>
      <c r="Z13" s="625" t="n"/>
      <c r="AA13" s="626" t="n"/>
    </row>
    <row r="14" ht="15" customHeight="1">
      <c r="A14" s="25" t="n"/>
    </row>
    <row r="15" ht="15" customHeight="1">
      <c r="A15" s="416" t="inlineStr">
        <is>
          <t>Shipping Inspection</t>
        </is>
      </c>
      <c r="B15" s="627" t="n"/>
      <c r="C15" s="627" t="n"/>
      <c r="D15" s="627" t="n"/>
      <c r="E15" s="627" t="n"/>
      <c r="F15" s="627" t="n"/>
      <c r="G15" s="627" t="n"/>
      <c r="H15" s="627" t="n"/>
      <c r="I15" s="627" t="n"/>
      <c r="J15" s="627" t="n"/>
      <c r="K15" s="627" t="n"/>
      <c r="L15" s="627" t="n"/>
      <c r="M15" s="627" t="n"/>
      <c r="N15" s="627" t="n"/>
      <c r="O15" s="627" t="n"/>
      <c r="P15" s="627" t="n"/>
      <c r="Q15" s="627" t="n"/>
      <c r="R15" s="627" t="n"/>
      <c r="S15" s="627" t="n"/>
      <c r="T15" s="627" t="n"/>
      <c r="U15" s="627" t="n"/>
      <c r="V15" s="628" t="n"/>
      <c r="W15" s="419" t="inlineStr">
        <is>
          <t>Initials</t>
        </is>
      </c>
      <c r="X15" s="628" t="n"/>
      <c r="Y15" s="420" t="inlineStr">
        <is>
          <t>Date</t>
        </is>
      </c>
      <c r="Z15" s="627" t="n"/>
      <c r="AA15" s="628" t="n"/>
    </row>
    <row r="16" ht="25.35" customHeight="1">
      <c r="A16" s="438" t="inlineStr">
        <is>
          <t xml:space="preserve">Verify Loose Parts packaged and inspected. (i.e Setting Plates, Splice Plates, Bolts, other misc parts) </t>
        </is>
      </c>
      <c r="B16" s="629" t="n"/>
      <c r="C16" s="629" t="n"/>
      <c r="D16" s="629" t="n"/>
      <c r="E16" s="629" t="n"/>
      <c r="F16" s="629" t="n"/>
      <c r="G16" s="629" t="n"/>
      <c r="H16" s="629" t="n"/>
      <c r="I16" s="629" t="n"/>
      <c r="J16" s="629" t="n"/>
      <c r="K16" s="629" t="n"/>
      <c r="L16" s="629" t="n"/>
      <c r="M16" s="629" t="n"/>
      <c r="N16" s="629" t="n"/>
      <c r="O16" s="629" t="n"/>
      <c r="P16" s="629" t="n"/>
      <c r="Q16" s="629" t="n"/>
      <c r="R16" s="629" t="n"/>
      <c r="S16" s="629" t="n"/>
      <c r="T16" s="629" t="n"/>
      <c r="U16" s="629" t="n"/>
      <c r="V16" s="630" t="n"/>
      <c r="W16" s="435" t="n"/>
      <c r="X16" s="630" t="n"/>
      <c r="Y16" s="436" t="n"/>
      <c r="Z16" s="629" t="n"/>
      <c r="AA16" s="630" t="n"/>
    </row>
    <row r="17" ht="18" customHeight="1">
      <c r="A17" s="72" t="n"/>
      <c r="B17" s="73" t="n"/>
      <c r="C17" s="73" t="n"/>
      <c r="D17" s="74" t="n"/>
      <c r="E17" s="70" t="inlineStr">
        <is>
          <t>Number of:</t>
        </is>
      </c>
      <c r="F17" s="71" t="n"/>
      <c r="G17" s="71" t="n"/>
      <c r="H17" s="71" t="inlineStr">
        <is>
          <t>Pallets</t>
        </is>
      </c>
      <c r="I17" s="71" t="n"/>
      <c r="J17" s="292" t="n"/>
      <c r="K17" s="71" t="n"/>
      <c r="L17" s="71" t="n"/>
      <c r="M17" s="71" t="inlineStr">
        <is>
          <t>Bundles</t>
        </is>
      </c>
      <c r="N17" s="71" t="n"/>
      <c r="O17" s="434" t="n"/>
      <c r="P17" s="631" t="n"/>
      <c r="Q17" s="75" t="n"/>
      <c r="R17" s="73" t="n"/>
      <c r="S17" s="73" t="n"/>
      <c r="T17" s="73" t="n"/>
      <c r="U17" s="73" t="n"/>
      <c r="V17" s="73" t="n"/>
      <c r="W17" s="73" t="n"/>
      <c r="X17" s="73" t="n"/>
      <c r="Y17" s="73" t="n"/>
      <c r="Z17" s="73" t="n"/>
      <c r="AA17" s="73" t="n"/>
    </row>
    <row r="18" ht="25.35" customFormat="1" customHeight="1" s="16">
      <c r="A18" s="447" t="inlineStr">
        <is>
          <t>Verify Bridge Sections are free of damage and all repairs required are completed.</t>
        </is>
      </c>
      <c r="B18" s="71" t="n"/>
      <c r="C18" s="71" t="n"/>
      <c r="D18" s="71" t="n"/>
      <c r="E18" s="71" t="n"/>
      <c r="F18" s="71" t="n"/>
      <c r="G18" s="71" t="n"/>
      <c r="H18" s="71" t="n"/>
      <c r="I18" s="71" t="n"/>
      <c r="J18" s="71" t="n"/>
      <c r="K18" s="71" t="n"/>
      <c r="L18" s="71" t="n"/>
      <c r="M18" s="71" t="n"/>
      <c r="N18" s="71" t="n"/>
      <c r="O18" s="71" t="n"/>
      <c r="P18" s="71" t="n"/>
      <c r="Q18" s="71" t="n"/>
      <c r="R18" s="71" t="n"/>
      <c r="S18" s="71" t="n"/>
      <c r="T18" s="71" t="n"/>
      <c r="U18" s="71" t="n"/>
      <c r="V18" s="482" t="n"/>
      <c r="W18" s="454" t="n"/>
      <c r="X18" s="482" t="n"/>
      <c r="Y18" s="161" t="n"/>
      <c r="Z18" s="71" t="n"/>
      <c r="AA18" s="482" t="n"/>
    </row>
    <row r="19" ht="25.35" customHeight="1">
      <c r="A19" s="450" t="inlineStr">
        <is>
          <t>Verify Bridge Sections are loaded according to specified requirements.</t>
        </is>
      </c>
      <c r="B19" s="627" t="n"/>
      <c r="C19" s="627" t="n"/>
      <c r="D19" s="627" t="n"/>
      <c r="E19" s="627" t="n"/>
      <c r="F19" s="627" t="n"/>
      <c r="G19" s="627" t="n"/>
      <c r="H19" s="627" t="n"/>
      <c r="I19" s="627" t="n"/>
      <c r="J19" s="627" t="n"/>
      <c r="K19" s="627" t="n"/>
      <c r="L19" s="627" t="n"/>
      <c r="M19" s="627" t="n"/>
      <c r="N19" s="627" t="n"/>
      <c r="O19" s="627" t="n"/>
      <c r="P19" s="627" t="n"/>
      <c r="Q19" s="627" t="n"/>
      <c r="R19" s="627" t="n"/>
      <c r="S19" s="627" t="n"/>
      <c r="T19" s="627" t="n"/>
      <c r="U19" s="627" t="n"/>
      <c r="V19" s="627" t="n"/>
      <c r="W19" s="444" t="n"/>
      <c r="X19" s="628" t="n"/>
      <c r="Y19" s="445" t="n"/>
      <c r="Z19" s="627" t="n"/>
      <c r="AA19" s="628" t="n"/>
    </row>
    <row r="20" ht="18" customHeight="1">
      <c r="E20" s="76" t="inlineStr">
        <is>
          <t>Number of loads:</t>
        </is>
      </c>
      <c r="F20" s="77" t="n"/>
      <c r="G20" s="77" t="n"/>
      <c r="H20" s="77" t="n"/>
      <c r="I20" s="443" t="n"/>
      <c r="J20" s="632" t="n"/>
    </row>
    <row r="21" ht="15" customHeight="1"/>
    <row r="22" ht="15" customHeight="1"/>
    <row r="23" ht="15" customHeight="1"/>
    <row r="24" ht="15" customHeight="1"/>
    <row r="25" ht="15" customHeight="1"/>
    <row r="26" ht="15" customHeight="1" thickBot="1"/>
    <row r="27" ht="18" customHeight="1">
      <c r="A27" s="23" t="inlineStr">
        <is>
          <t>Quality Incident Written?</t>
        </is>
      </c>
      <c r="B27" s="22" t="n"/>
      <c r="C27" s="22" t="n"/>
      <c r="D27" s="22" t="n"/>
      <c r="E27" s="24" t="n"/>
      <c r="F27" s="29" t="n"/>
      <c r="G27" s="29" t="n"/>
      <c r="H27" s="29" t="n"/>
      <c r="I27" s="29" t="n"/>
      <c r="J27" s="29" t="n"/>
      <c r="K27" s="29" t="n"/>
      <c r="L27" s="29" t="n"/>
      <c r="M27" s="29" t="n"/>
      <c r="N27" s="29" t="n"/>
      <c r="O27" s="29" t="n"/>
      <c r="P27" s="29" t="n"/>
      <c r="Q27" s="29" t="n"/>
      <c r="R27" s="29" t="n"/>
      <c r="S27" s="29" t="n"/>
      <c r="T27" s="34" t="n"/>
      <c r="U27" s="22" t="n"/>
      <c r="V27" s="22" t="n"/>
      <c r="W27" s="24" t="n"/>
      <c r="X27" s="30" t="inlineStr">
        <is>
          <t>Repairs Inspected?</t>
        </is>
      </c>
      <c r="Y27" s="29" t="n"/>
      <c r="Z27" s="29" t="n"/>
      <c r="AA27" s="35" t="n"/>
    </row>
    <row r="28" ht="18" customHeight="1">
      <c r="A28" s="63" t="inlineStr">
        <is>
          <t>Final Inspection</t>
        </is>
      </c>
      <c r="B28" s="64" t="n"/>
      <c r="C28" s="64" t="n"/>
      <c r="D28" s="64" t="n"/>
      <c r="E28" s="64" t="n"/>
      <c r="F28" s="64" t="n"/>
      <c r="G28" s="64" t="n"/>
      <c r="H28" s="64" t="n"/>
      <c r="I28" s="64" t="n"/>
      <c r="J28" s="64" t="n"/>
      <c r="K28" s="64" t="n"/>
      <c r="L28" s="64" t="n"/>
      <c r="M28" s="64" t="n"/>
      <c r="N28" s="64" t="n"/>
      <c r="O28" s="64" t="n"/>
      <c r="P28" s="64" t="n"/>
      <c r="Q28" s="64" t="n"/>
      <c r="R28" s="64" t="n"/>
      <c r="S28" s="64" t="n"/>
      <c r="T28" s="64" t="n"/>
      <c r="U28" s="64" t="n"/>
      <c r="V28" s="64" t="n"/>
      <c r="W28" s="64" t="n"/>
      <c r="X28" s="65" t="n"/>
      <c r="Y28" s="64" t="n"/>
      <c r="Z28" s="64" t="n"/>
      <c r="AA28" s="66" t="n"/>
    </row>
    <row r="29" ht="15" customHeight="1">
      <c r="A29" s="60" t="inlineStr">
        <is>
          <t>Reviewed above information and confirmed accuracy.</t>
        </is>
      </c>
      <c r="B29" s="61" t="n"/>
      <c r="C29" s="61" t="n"/>
      <c r="D29" s="61" t="n"/>
      <c r="E29" s="61" t="n"/>
      <c r="F29" s="61" t="n"/>
      <c r="G29" s="61" t="n"/>
      <c r="H29" s="61" t="n"/>
      <c r="I29" s="61" t="n"/>
      <c r="J29" s="61" t="n"/>
      <c r="K29" s="61" t="n"/>
      <c r="L29" s="61" t="inlineStr">
        <is>
          <t>All coatings, decking, packaging and loading inspections completed.</t>
        </is>
      </c>
      <c r="M29" s="61" t="n"/>
      <c r="N29" s="61" t="n"/>
      <c r="O29" s="61" t="n"/>
      <c r="P29" s="61" t="n"/>
      <c r="Q29" s="61" t="n"/>
      <c r="R29" s="61" t="n"/>
      <c r="S29" s="61" t="n"/>
      <c r="T29" s="61" t="n"/>
      <c r="U29" s="61" t="n"/>
      <c r="V29" s="61" t="n"/>
      <c r="W29" s="61" t="n"/>
      <c r="X29" s="61" t="n"/>
      <c r="Y29" s="61" t="n"/>
      <c r="Z29" s="61" t="n"/>
      <c r="AA29" s="62" t="n"/>
    </row>
    <row r="30" ht="28.7" customHeight="1" thickBot="1">
      <c r="A30" s="31" t="inlineStr">
        <is>
          <t>QC Signature:</t>
        </is>
      </c>
      <c r="B30" s="31" t="n"/>
      <c r="C30" s="31" t="n"/>
      <c r="D30" s="32" t="n"/>
      <c r="E30" s="33" t="n"/>
      <c r="F30" s="33" t="n"/>
      <c r="G30" s="33" t="n"/>
      <c r="H30" s="33" t="n"/>
      <c r="I30" s="33" t="n"/>
      <c r="J30" s="33" t="n"/>
      <c r="K30" s="33" t="n"/>
      <c r="L30" s="33" t="n"/>
      <c r="M30" s="33" t="n"/>
      <c r="N30" s="33" t="n"/>
      <c r="O30" s="33" t="n"/>
      <c r="P30" s="33" t="n"/>
      <c r="Q30" s="33" t="n"/>
      <c r="R30" s="33" t="n"/>
      <c r="S30" s="33" t="n"/>
      <c r="T30" s="33" t="n"/>
      <c r="U30" s="33" t="n"/>
      <c r="V30" s="37" t="n"/>
      <c r="W30" s="33" t="n"/>
      <c r="X30" s="33" t="inlineStr">
        <is>
          <t>Date:</t>
        </is>
      </c>
      <c r="Y30" s="33" t="n"/>
      <c r="Z30" s="33" t="n"/>
      <c r="AA30" s="36" t="n"/>
    </row>
  </sheetData>
  <mergeCells count="75">
    <mergeCell ref="A5:D5"/>
    <mergeCell ref="R10:T12"/>
    <mergeCell ref="O5:Q5"/>
    <mergeCell ref="Y19:AA19"/>
    <mergeCell ref="O4:Q4"/>
    <mergeCell ref="L5:N5"/>
    <mergeCell ref="W15:X15"/>
    <mergeCell ref="U8:AA8"/>
    <mergeCell ref="B8:D8"/>
    <mergeCell ref="L8:N8"/>
    <mergeCell ref="I12:K12"/>
    <mergeCell ref="E7:K7"/>
    <mergeCell ref="L4:N4"/>
    <mergeCell ref="E2:K2"/>
    <mergeCell ref="U5:AA5"/>
    <mergeCell ref="Y16:AA16"/>
    <mergeCell ref="A19:V19"/>
    <mergeCell ref="E3:K3"/>
    <mergeCell ref="U9:AA9"/>
    <mergeCell ref="U4:AA4"/>
    <mergeCell ref="E12:H12"/>
    <mergeCell ref="L9:N9"/>
    <mergeCell ref="A10:D12"/>
    <mergeCell ref="B9:D9"/>
    <mergeCell ref="Y18:AA18"/>
    <mergeCell ref="O8:Q8"/>
    <mergeCell ref="L6:N6"/>
    <mergeCell ref="A15:V15"/>
    <mergeCell ref="U10:AA12"/>
    <mergeCell ref="L10:N12"/>
    <mergeCell ref="U6:AA6"/>
    <mergeCell ref="E5:K5"/>
    <mergeCell ref="A1:D1"/>
    <mergeCell ref="E8:K8"/>
    <mergeCell ref="I10:K10"/>
    <mergeCell ref="W16:X16"/>
    <mergeCell ref="A6:D6"/>
    <mergeCell ref="M1:P1"/>
    <mergeCell ref="Q1:U1"/>
    <mergeCell ref="R5:T5"/>
    <mergeCell ref="O13:Q13"/>
    <mergeCell ref="E4:K4"/>
    <mergeCell ref="R9:T9"/>
    <mergeCell ref="O7:Q7"/>
    <mergeCell ref="R8:T8"/>
    <mergeCell ref="O3:T3"/>
    <mergeCell ref="W18:X18"/>
    <mergeCell ref="E1:K1"/>
    <mergeCell ref="B7:D7"/>
    <mergeCell ref="E10:H10"/>
    <mergeCell ref="L7:N7"/>
    <mergeCell ref="A16:V16"/>
    <mergeCell ref="I11:K11"/>
    <mergeCell ref="O17:P17"/>
    <mergeCell ref="O10:Q12"/>
    <mergeCell ref="A7:A9"/>
    <mergeCell ref="I20:J20"/>
    <mergeCell ref="O6:Q6"/>
    <mergeCell ref="E9:K9"/>
    <mergeCell ref="Y15:AA15"/>
    <mergeCell ref="U13:AA13"/>
    <mergeCell ref="R7:T7"/>
    <mergeCell ref="R4:T4"/>
    <mergeCell ref="U7:AA7"/>
    <mergeCell ref="O9:Q9"/>
    <mergeCell ref="L13:N13"/>
    <mergeCell ref="R13:T13"/>
    <mergeCell ref="E6:K6"/>
    <mergeCell ref="A18:V18"/>
    <mergeCell ref="A2:D2"/>
    <mergeCell ref="A13:K13"/>
    <mergeCell ref="E11:H11"/>
    <mergeCell ref="W19:X19"/>
    <mergeCell ref="J17:K17"/>
    <mergeCell ref="R6:T6"/>
  </mergeCells>
  <pageMargins left="0.25" right="0.25" top="1.25" bottom="0.5" header="0.3" footer="0.3"/>
  <pageSetup orientation="portrait"/>
  <headerFooter>
    <oddHeader>&amp;L&amp;G&amp;R&amp;"-,Regular"&amp;12 QC Report - Finishing_x000a_</oddHeader>
    <oddFooter>&amp;LR9.6&amp;C"Meet or exceed requirements agreed to with all Contech Customers"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5"/>
  <sheetViews>
    <sheetView workbookViewId="0">
      <selection activeCell="O27" sqref="O27"/>
    </sheetView>
  </sheetViews>
  <sheetFormatPr baseColWidth="8" defaultRowHeight="15"/>
  <cols>
    <col width="28.7109375" customWidth="1" min="2" max="3"/>
    <col width="23.85546875" customWidth="1" min="4" max="4"/>
    <col width="26.5703125" customWidth="1" min="5" max="5"/>
    <col width="26.140625" customWidth="1" min="6" max="6"/>
    <col width="25.28515625" customWidth="1" min="7" max="7"/>
    <col width="16.140625" customWidth="1" min="9" max="9"/>
  </cols>
  <sheetData>
    <row r="1" ht="18.75" customHeight="1">
      <c r="A1" s="4" t="inlineStr">
        <is>
          <t>Reference</t>
        </is>
      </c>
    </row>
    <row r="3">
      <c r="B3" s="3" t="inlineStr">
        <is>
          <t>Truss</t>
        </is>
      </c>
      <c r="C3" s="3" t="inlineStr">
        <is>
          <t>Bolted Truss</t>
        </is>
      </c>
      <c r="D3" s="3" t="inlineStr">
        <is>
          <t>Modular</t>
        </is>
      </c>
      <c r="E3" s="3" t="inlineStr">
        <is>
          <t>Tower</t>
        </is>
      </c>
      <c r="F3" s="3" t="inlineStr">
        <is>
          <t>Railing</t>
        </is>
      </c>
      <c r="G3" s="15" t="inlineStr">
        <is>
          <t>Landing</t>
        </is>
      </c>
      <c r="L3">
        <f>VLOOKUP('Assembly -QC Check'!Q1,Ref!L4:M9,2)</f>
        <v/>
      </c>
      <c r="O3" t="inlineStr">
        <is>
          <t>RUB/HAND RAIL</t>
        </is>
      </c>
    </row>
    <row r="4" ht="15" customHeight="1">
      <c r="A4" s="456" t="inlineStr">
        <is>
          <t>Pre-Fab Sheet</t>
        </is>
      </c>
      <c r="B4" s="7" t="inlineStr">
        <is>
          <t>Truss Verticals</t>
        </is>
      </c>
      <c r="C4" s="2" t="inlineStr">
        <is>
          <t>Truss Verticals</t>
        </is>
      </c>
      <c r="D4" s="2" t="inlineStr">
        <is>
          <t>Stringers</t>
        </is>
      </c>
      <c r="E4" s="2" t="inlineStr">
        <is>
          <t>Columns</t>
        </is>
      </c>
      <c r="F4" s="2" t="inlineStr">
        <is>
          <t>Posts</t>
        </is>
      </c>
      <c r="G4" s="6" t="inlineStr">
        <is>
          <t>Verticals</t>
        </is>
      </c>
      <c r="I4" t="inlineStr">
        <is>
          <t>Weathering</t>
        </is>
      </c>
      <c r="L4" t="inlineStr">
        <is>
          <t>Bolted Truss</t>
        </is>
      </c>
      <c r="M4" t="inlineStr">
        <is>
          <t>Bolted</t>
        </is>
      </c>
      <c r="O4" t="inlineStr">
        <is>
          <t>5/4X6 IPE</t>
        </is>
      </c>
    </row>
    <row r="5">
      <c r="A5" s="14" t="n"/>
      <c r="B5" s="8" t="inlineStr">
        <is>
          <t>Floor Beams</t>
        </is>
      </c>
      <c r="C5" t="inlineStr">
        <is>
          <t>Floor Beams</t>
        </is>
      </c>
      <c r="D5" t="inlineStr">
        <is>
          <t>Diaphrams</t>
        </is>
      </c>
      <c r="E5" t="inlineStr">
        <is>
          <t>Diagonals</t>
        </is>
      </c>
      <c r="F5" t="inlineStr">
        <is>
          <t>Top Rail</t>
        </is>
      </c>
      <c r="G5" s="14" t="inlineStr">
        <is>
          <t>Floor Beams</t>
        </is>
      </c>
      <c r="I5" t="inlineStr">
        <is>
          <t>Painted - G50</t>
        </is>
      </c>
      <c r="L5" t="inlineStr">
        <is>
          <t>Landing</t>
        </is>
      </c>
      <c r="M5" t="inlineStr">
        <is>
          <t>Landing</t>
        </is>
      </c>
      <c r="O5" t="inlineStr">
        <is>
          <t>2X6 REDWOOD</t>
        </is>
      </c>
    </row>
    <row r="6">
      <c r="A6" s="14" t="n"/>
      <c r="B6" s="8" t="inlineStr">
        <is>
          <t>Truss Diagonals</t>
        </is>
      </c>
      <c r="C6" t="inlineStr">
        <is>
          <t>Truss Diagonals</t>
        </is>
      </c>
      <c r="D6" t="inlineStr">
        <is>
          <t>Post Block</t>
        </is>
      </c>
      <c r="E6" t="inlineStr">
        <is>
          <t>Struts</t>
        </is>
      </c>
      <c r="F6" t="inlineStr">
        <is>
          <t>Bottom Rail</t>
        </is>
      </c>
      <c r="G6" s="14" t="inlineStr">
        <is>
          <t>Strut</t>
        </is>
      </c>
      <c r="I6" t="inlineStr">
        <is>
          <t>Painted - A500</t>
        </is>
      </c>
      <c r="L6" t="inlineStr">
        <is>
          <t>Modular</t>
        </is>
      </c>
      <c r="M6" t="inlineStr">
        <is>
          <t>Modular</t>
        </is>
      </c>
      <c r="O6" t="inlineStr">
        <is>
          <t>CHANNEL</t>
        </is>
      </c>
    </row>
    <row r="7">
      <c r="A7" s="14" t="n"/>
      <c r="B7" s="8" t="inlineStr">
        <is>
          <t>Brace Diagonals</t>
        </is>
      </c>
      <c r="C7" t="inlineStr">
        <is>
          <t>Brace Diagonals</t>
        </is>
      </c>
      <c r="D7" t="inlineStr">
        <is>
          <t>Rail Post</t>
        </is>
      </c>
      <c r="E7" t="inlineStr">
        <is>
          <t>Beams</t>
        </is>
      </c>
      <c r="F7" t="inlineStr">
        <is>
          <t>Pickets</t>
        </is>
      </c>
      <c r="G7" s="9" t="inlineStr">
        <is>
          <t> </t>
        </is>
      </c>
      <c r="I7" t="inlineStr">
        <is>
          <t>Galvanized</t>
        </is>
      </c>
      <c r="L7" t="inlineStr">
        <is>
          <t>Railing</t>
        </is>
      </c>
      <c r="M7" t="inlineStr">
        <is>
          <t>Railing</t>
        </is>
      </c>
      <c r="O7" t="inlineStr">
        <is>
          <t>HSS TUBING</t>
        </is>
      </c>
    </row>
    <row r="8">
      <c r="A8" s="14" t="n"/>
      <c r="B8" s="10" t="inlineStr">
        <is>
          <t>Chords</t>
        </is>
      </c>
      <c r="C8" s="1" t="inlineStr">
        <is>
          <t>Chords</t>
        </is>
      </c>
      <c r="D8" s="11" t="inlineStr"/>
      <c r="E8" s="1" t="inlineStr">
        <is>
          <t>Rails</t>
        </is>
      </c>
      <c r="F8" s="11" t="inlineStr">
        <is>
          <t> </t>
        </is>
      </c>
      <c r="G8" s="12" t="inlineStr">
        <is>
          <t> </t>
        </is>
      </c>
      <c r="I8" t="inlineStr">
        <is>
          <t>Galvanized - Painted</t>
        </is>
      </c>
      <c r="L8" t="inlineStr">
        <is>
          <t>Tower</t>
        </is>
      </c>
      <c r="M8" t="inlineStr">
        <is>
          <t>Tower</t>
        </is>
      </c>
      <c r="O8" t="inlineStr">
        <is>
          <t>PIPE</t>
        </is>
      </c>
    </row>
    <row r="9">
      <c r="A9" s="14" t="n"/>
      <c r="B9" s="7" t="inlineStr">
        <is>
          <t>Bearing Plates</t>
        </is>
      </c>
      <c r="C9" s="2" t="inlineStr">
        <is>
          <t>Bearing Plates</t>
        </is>
      </c>
      <c r="D9" s="2" t="inlineStr">
        <is>
          <t>Bearing Plates</t>
        </is>
      </c>
      <c r="E9" s="2" t="inlineStr">
        <is>
          <t>Bearing Plates</t>
        </is>
      </c>
      <c r="F9" s="2" t="inlineStr">
        <is>
          <t>Base Plates</t>
        </is>
      </c>
      <c r="G9" s="6" t="inlineStr">
        <is>
          <t>Bearing Plates</t>
        </is>
      </c>
      <c r="I9" t="inlineStr">
        <is>
          <t>Metalized - Painted</t>
        </is>
      </c>
      <c r="L9" t="inlineStr">
        <is>
          <t>Truss</t>
        </is>
      </c>
      <c r="M9" t="inlineStr">
        <is>
          <t>Truss</t>
        </is>
      </c>
      <c r="O9" t="inlineStr">
        <is>
          <t xml:space="preserve">RF-C 1X4 </t>
        </is>
      </c>
    </row>
    <row r="10">
      <c r="A10" s="14" t="n"/>
      <c r="B10" s="8" t="inlineStr">
        <is>
          <t>Base Plates</t>
        </is>
      </c>
      <c r="C10" t="inlineStr">
        <is>
          <t>Base Plates</t>
        </is>
      </c>
      <c r="D10" t="inlineStr">
        <is>
          <t>Base Plates</t>
        </is>
      </c>
      <c r="E10" t="inlineStr">
        <is>
          <t>Base Plates</t>
        </is>
      </c>
      <c r="F10" s="5" t="inlineStr">
        <is>
          <t> </t>
        </is>
      </c>
      <c r="G10" s="9" t="inlineStr">
        <is>
          <t>Base Plates</t>
        </is>
      </c>
      <c r="I10" t="inlineStr">
        <is>
          <t>Aluminum</t>
        </is>
      </c>
      <c r="O10" t="inlineStr">
        <is>
          <t>N/A</t>
        </is>
      </c>
    </row>
    <row r="11">
      <c r="A11" s="14" t="n"/>
      <c r="B11" s="8" t="inlineStr">
        <is>
          <t>Gusset Plates</t>
        </is>
      </c>
      <c r="C11" t="inlineStr">
        <is>
          <t>Gusset Plates</t>
        </is>
      </c>
      <c r="D11" t="inlineStr">
        <is>
          <t>Gusset Plates</t>
        </is>
      </c>
      <c r="E11" t="inlineStr">
        <is>
          <t>Gusset Plates</t>
        </is>
      </c>
      <c r="F11" s="5" t="inlineStr">
        <is>
          <t> </t>
        </is>
      </c>
      <c r="G11" s="9" t="inlineStr">
        <is>
          <t> </t>
        </is>
      </c>
      <c r="M11" t="inlineStr">
        <is>
          <t>DECKING</t>
        </is>
      </c>
      <c r="O11" t="inlineStr">
        <is>
          <t>W-BEAM</t>
        </is>
      </c>
    </row>
    <row r="12">
      <c r="A12" s="14" t="n"/>
      <c r="B12" s="10" t="inlineStr">
        <is>
          <t>Splice Plates</t>
        </is>
      </c>
      <c r="C12" s="1" t="inlineStr">
        <is>
          <t>Splice Plates</t>
        </is>
      </c>
      <c r="D12" s="1" t="inlineStr">
        <is>
          <t>Splice Plates</t>
        </is>
      </c>
      <c r="E12" s="11" t="inlineStr">
        <is>
          <t> </t>
        </is>
      </c>
      <c r="F12" s="11" t="inlineStr">
        <is>
          <t> </t>
        </is>
      </c>
      <c r="G12" s="12" t="inlineStr">
        <is>
          <t> </t>
        </is>
      </c>
      <c r="I12" t="inlineStr">
        <is>
          <t>AWS D1.1 - GMAW</t>
        </is>
      </c>
      <c r="O12" t="inlineStr">
        <is>
          <t>THRIE-BEAM</t>
        </is>
      </c>
    </row>
    <row r="13">
      <c r="A13" s="39" t="n"/>
      <c r="E13" s="5" t="inlineStr">
        <is>
          <t> </t>
        </is>
      </c>
      <c r="F13" s="5" t="inlineStr">
        <is>
          <t> </t>
        </is>
      </c>
      <c r="G13" s="5" t="n"/>
      <c r="I13" t="inlineStr">
        <is>
          <t>AWS D1.1 - FCAW</t>
        </is>
      </c>
      <c r="M13" t="inlineStr">
        <is>
          <t>1.0C</t>
        </is>
      </c>
      <c r="O13" t="inlineStr">
        <is>
          <t>SCUPPER</t>
        </is>
      </c>
    </row>
    <row r="14">
      <c r="A14" s="39" t="n"/>
      <c r="E14" s="5" t="inlineStr">
        <is>
          <t> </t>
        </is>
      </c>
      <c r="F14" s="5" t="inlineStr">
        <is>
          <t> </t>
        </is>
      </c>
      <c r="G14" s="5" t="n"/>
      <c r="I14" t="inlineStr">
        <is>
          <t>AWS D1.2 - GMAW</t>
        </is>
      </c>
      <c r="M14" t="inlineStr">
        <is>
          <t>1.5C</t>
        </is>
      </c>
      <c r="O14" t="inlineStr">
        <is>
          <t>TREX</t>
        </is>
      </c>
    </row>
    <row r="15">
      <c r="A15" s="456" t="inlineStr">
        <is>
          <t>Assembly/Fabrication Sheet</t>
        </is>
      </c>
      <c r="B15" s="13" t="inlineStr">
        <is>
          <t>Bridge/Bearing Length</t>
        </is>
      </c>
      <c r="C15" s="26" t="inlineStr">
        <is>
          <t>Bridge/Bearing Length</t>
        </is>
      </c>
      <c r="D15" s="2" t="inlineStr">
        <is>
          <t>Bridge/Bearing Length</t>
        </is>
      </c>
      <c r="E15" s="2" t="inlineStr">
        <is>
          <t>Overall Height</t>
        </is>
      </c>
      <c r="F15" s="2" t="inlineStr">
        <is>
          <t>Rail Height</t>
        </is>
      </c>
      <c r="G15" s="6" t="n"/>
      <c r="I15" t="inlineStr">
        <is>
          <t>AWS D1.5 - FCAW</t>
        </is>
      </c>
      <c r="M15" t="inlineStr">
        <is>
          <t>2C</t>
        </is>
      </c>
      <c r="O15" t="inlineStr">
        <is>
          <t>TIMBER</t>
        </is>
      </c>
    </row>
    <row r="16">
      <c r="A16" s="14" t="n"/>
      <c r="B16" s="8" t="inlineStr">
        <is>
          <t>Camber</t>
        </is>
      </c>
      <c r="C16" t="inlineStr">
        <is>
          <t>Camber</t>
        </is>
      </c>
      <c r="D16" t="inlineStr">
        <is>
          <t>Camber</t>
        </is>
      </c>
      <c r="E16" s="5" t="inlineStr">
        <is>
          <t> </t>
        </is>
      </c>
      <c r="F16" t="inlineStr">
        <is>
          <t>Rail Length</t>
        </is>
      </c>
      <c r="G16" s="14" t="n"/>
      <c r="I16" t="inlineStr">
        <is>
          <t>AWS D1.5 - FCAW FC</t>
        </is>
      </c>
      <c r="M16" t="inlineStr">
        <is>
          <t>2X10 DF</t>
        </is>
      </c>
    </row>
    <row r="17">
      <c r="A17" s="14" t="n"/>
      <c r="B17" s="8" t="inlineStr">
        <is>
          <t>Bearing Cross Square (IF APPLICABLE)</t>
        </is>
      </c>
      <c r="C17" s="5" t="inlineStr">
        <is>
          <t>Rail Height</t>
        </is>
      </c>
      <c r="D17" t="inlineStr">
        <is>
          <t>Rail Height</t>
        </is>
      </c>
      <c r="E17" s="40" t="inlineStr">
        <is>
          <t> </t>
        </is>
      </c>
      <c r="F17" t="inlineStr">
        <is>
          <t>Picket/Safety Rail Spacing</t>
        </is>
      </c>
      <c r="G17" s="14" t="n"/>
      <c r="M17" t="inlineStr">
        <is>
          <t>2X10 IPE</t>
        </is>
      </c>
    </row>
    <row r="18">
      <c r="A18" s="14" t="n"/>
      <c r="B18" s="8" t="inlineStr">
        <is>
          <t>Safety Rail/Picket Spacing</t>
        </is>
      </c>
      <c r="C18" s="5" t="inlineStr">
        <is>
          <t> </t>
        </is>
      </c>
      <c r="D18" s="5" t="inlineStr">
        <is>
          <t> </t>
        </is>
      </c>
      <c r="E18" s="40" t="inlineStr">
        <is>
          <t> </t>
        </is>
      </c>
      <c r="F18" s="5" t="inlineStr">
        <is>
          <t> </t>
        </is>
      </c>
      <c r="G18" s="14" t="n"/>
      <c r="M18" t="inlineStr">
        <is>
          <t>2X6 IPE</t>
        </is>
      </c>
      <c r="O18" t="inlineStr">
        <is>
          <t>CHAIN LINK</t>
        </is>
      </c>
    </row>
    <row r="19" ht="15" customHeight="1">
      <c r="A19" s="14" t="n"/>
      <c r="B19" s="18" t="inlineStr">
        <is>
          <t>High/Exp End</t>
        </is>
      </c>
      <c r="C19" s="20" t="inlineStr">
        <is>
          <t>Panel A</t>
        </is>
      </c>
      <c r="D19" s="19" t="inlineStr">
        <is>
          <t>Dimensions</t>
        </is>
      </c>
      <c r="E19" s="19" t="inlineStr">
        <is>
          <t>Measurements</t>
        </is>
      </c>
      <c r="F19" s="58" t="inlineStr">
        <is>
          <t> </t>
        </is>
      </c>
      <c r="G19" s="21" t="inlineStr">
        <is>
          <t>Measurements</t>
        </is>
      </c>
      <c r="M19" t="inlineStr">
        <is>
          <t>3C</t>
        </is>
      </c>
      <c r="O19" t="inlineStr">
        <is>
          <t>WIRE PANEL</t>
        </is>
      </c>
    </row>
    <row r="20">
      <c r="A20" s="14" t="n"/>
      <c r="B20" s="8" t="inlineStr">
        <is>
          <t>Top Width</t>
        </is>
      </c>
      <c r="C20" s="5" t="inlineStr">
        <is>
          <t>Near Side Bolts Snug Tightened</t>
        </is>
      </c>
      <c r="D20" t="inlineStr">
        <is>
          <t>Post Block Spacing</t>
        </is>
      </c>
      <c r="E20" t="inlineStr">
        <is>
          <t>Top/Bridge Bearing</t>
        </is>
      </c>
      <c r="F20" s="5" t="inlineStr">
        <is>
          <t> </t>
        </is>
      </c>
      <c r="G20" s="14" t="inlineStr">
        <is>
          <t>Bearing Width</t>
        </is>
      </c>
      <c r="I20" t="inlineStr">
        <is>
          <t>lbs.</t>
        </is>
      </c>
      <c r="J20" t="inlineStr">
        <is>
          <t>Concetrated</t>
        </is>
      </c>
      <c r="M20" t="inlineStr">
        <is>
          <t>3X10 DF</t>
        </is>
      </c>
      <c r="O20" t="inlineStr">
        <is>
          <t>CABLE RAIL</t>
        </is>
      </c>
    </row>
    <row r="21">
      <c r="A21" s="14" t="n"/>
      <c r="B21" s="8" t="inlineStr">
        <is>
          <t>Bearing Width (Hole to Hole)</t>
        </is>
      </c>
      <c r="C21" s="5" t="inlineStr">
        <is>
          <t>Near Side Bolts Pretensioned</t>
        </is>
      </c>
      <c r="D21" t="inlineStr">
        <is>
          <t>Diaphragm Spacing</t>
        </is>
      </c>
      <c r="E21" t="inlineStr">
        <is>
          <t>Tower Base Bearing</t>
        </is>
      </c>
      <c r="F21" s="5" t="inlineStr">
        <is>
          <t> </t>
        </is>
      </c>
      <c r="G21" s="14" t="inlineStr">
        <is>
          <t>Length</t>
        </is>
      </c>
      <c r="I21" t="inlineStr">
        <is>
          <t>Ton</t>
        </is>
      </c>
      <c r="J21" t="inlineStr">
        <is>
          <t>Vehicle</t>
        </is>
      </c>
      <c r="M21" t="inlineStr">
        <is>
          <t>3X12 DF</t>
        </is>
      </c>
      <c r="O21" t="inlineStr">
        <is>
          <t>PICKET RAIL</t>
        </is>
      </c>
    </row>
    <row r="22">
      <c r="A22" s="14" t="n"/>
      <c r="B22" s="8" t="inlineStr">
        <is>
          <t>Floor/Step Height</t>
        </is>
      </c>
      <c r="C22" s="5" t="inlineStr">
        <is>
          <t>Far Side Bolts Snug Tightened</t>
        </is>
      </c>
      <c r="D22" t="inlineStr">
        <is>
          <t>Deck Width</t>
        </is>
      </c>
      <c r="E22" s="5" t="inlineStr">
        <is>
          <t>Vertical Squareness</t>
        </is>
      </c>
      <c r="F22" s="5" t="inlineStr">
        <is>
          <t> </t>
        </is>
      </c>
      <c r="G22" s="14" t="inlineStr">
        <is>
          <t>Camber</t>
        </is>
      </c>
      <c r="I22" t="inlineStr">
        <is>
          <t>PSF</t>
        </is>
      </c>
      <c r="J22" t="inlineStr">
        <is>
          <t>Pedestrian</t>
        </is>
      </c>
      <c r="M22" t="inlineStr">
        <is>
          <t>4.25X12X7ga</t>
        </is>
      </c>
      <c r="O22" t="inlineStr">
        <is>
          <t>MESH PANEL</t>
        </is>
      </c>
    </row>
    <row r="23">
      <c r="A23" s="14" t="n"/>
      <c r="B23" s="8" t="inlineStr">
        <is>
          <t>Hand/Rub Rail Height</t>
        </is>
      </c>
      <c r="C23" s="5" t="inlineStr">
        <is>
          <t>Far Side Bolts Pretensioned</t>
        </is>
      </c>
      <c r="D23" t="inlineStr">
        <is>
          <t>Side Dam Height</t>
        </is>
      </c>
      <c r="E23" s="5" t="inlineStr">
        <is>
          <t> </t>
        </is>
      </c>
      <c r="F23" s="5" t="inlineStr">
        <is>
          <t> </t>
        </is>
      </c>
      <c r="G23" s="9" t="n"/>
      <c r="I23" t="inlineStr">
        <is>
          <t>Design</t>
        </is>
      </c>
      <c r="J23" t="inlineStr">
        <is>
          <t>Pedestrian Only</t>
        </is>
      </c>
      <c r="M23" t="inlineStr">
        <is>
          <t>4.25X12X9ga</t>
        </is>
      </c>
      <c r="O23" t="inlineStr">
        <is>
          <t>ANGLE RAIL</t>
        </is>
      </c>
    </row>
    <row r="24">
      <c r="A24" s="14" t="n"/>
      <c r="B24" s="8" t="inlineStr">
        <is>
          <t>End Squareness</t>
        </is>
      </c>
      <c r="C24" s="5" t="inlineStr">
        <is>
          <t> </t>
        </is>
      </c>
      <c r="D24" s="5" t="inlineStr">
        <is>
          <t>End Dam Height</t>
        </is>
      </c>
      <c r="E24" s="5" t="inlineStr">
        <is>
          <t> </t>
        </is>
      </c>
      <c r="F24" s="5" t="inlineStr">
        <is>
          <t> </t>
        </is>
      </c>
      <c r="G24" s="9" t="inlineStr">
        <is>
          <t> </t>
        </is>
      </c>
      <c r="J24" t="inlineStr">
        <is>
          <t>LIVE</t>
        </is>
      </c>
      <c r="M24" t="inlineStr">
        <is>
          <t>4X12 DF</t>
        </is>
      </c>
      <c r="O24" t="inlineStr">
        <is>
          <t>GLAZING</t>
        </is>
      </c>
    </row>
    <row r="25">
      <c r="A25" s="14" t="n"/>
      <c r="B25" s="5" t="n"/>
      <c r="C25" s="11" t="inlineStr">
        <is>
          <t> </t>
        </is>
      </c>
      <c r="D25" s="11" t="inlineStr"/>
      <c r="E25" s="11" t="inlineStr">
        <is>
          <t> </t>
        </is>
      </c>
      <c r="F25" s="11" t="inlineStr">
        <is>
          <t> </t>
        </is>
      </c>
      <c r="G25" s="9" t="inlineStr">
        <is>
          <t> </t>
        </is>
      </c>
      <c r="I25" t="inlineStr">
        <is>
          <t>SURFACE PREP</t>
        </is>
      </c>
      <c r="M25" t="inlineStr">
        <is>
          <t>CLEARCAST</t>
        </is>
      </c>
      <c r="O25" t="inlineStr">
        <is>
          <t>HSS TUBING</t>
        </is>
      </c>
    </row>
    <row r="26">
      <c r="A26" s="14" t="n"/>
      <c r="B26" s="18" t="inlineStr">
        <is>
          <t>Low/Fixed End</t>
        </is>
      </c>
      <c r="C26" s="20" t="inlineStr">
        <is>
          <t>Panel B</t>
        </is>
      </c>
      <c r="D26" s="42" t="inlineStr">
        <is>
          <t>Bolts &amp; Studs</t>
        </is>
      </c>
      <c r="E26" s="19" t="inlineStr">
        <is>
          <t>Four Leg Towers</t>
        </is>
      </c>
      <c r="F26" s="58" t="inlineStr">
        <is>
          <t> </t>
        </is>
      </c>
      <c r="G26" s="41" t="inlineStr">
        <is>
          <t>STUDS</t>
        </is>
      </c>
      <c r="I26" t="inlineStr">
        <is>
          <t xml:space="preserve">SSPC-SP1 </t>
        </is>
      </c>
      <c r="K26" t="inlineStr">
        <is>
          <t>COATINGS</t>
        </is>
      </c>
      <c r="M26" t="inlineStr">
        <is>
          <t>DMAC</t>
        </is>
      </c>
      <c r="O26" t="inlineStr">
        <is>
          <t>N/A</t>
        </is>
      </c>
    </row>
    <row r="27">
      <c r="A27" s="14" t="n"/>
      <c r="B27" s="8" t="inlineStr">
        <is>
          <t>Top Width</t>
        </is>
      </c>
      <c r="C27" s="5" t="inlineStr">
        <is>
          <t>Near Side Bolts Snug Tightened</t>
        </is>
      </c>
      <c r="D27" s="5" t="inlineStr">
        <is>
          <t>Bolts Snug Tightened</t>
        </is>
      </c>
      <c r="E27" t="inlineStr">
        <is>
          <t>Top Bearing Width 2</t>
        </is>
      </c>
      <c r="F27" s="5" t="inlineStr">
        <is>
          <t> </t>
        </is>
      </c>
      <c r="G27" s="9" t="inlineStr">
        <is>
          <t>THREADED STUD LAYOUT</t>
        </is>
      </c>
      <c r="I27" t="inlineStr">
        <is>
          <t>SSPC-SP7</t>
        </is>
      </c>
      <c r="K27" t="inlineStr">
        <is>
          <t>Galvanized</t>
        </is>
      </c>
      <c r="M27" t="inlineStr">
        <is>
          <t>GRATE</t>
        </is>
      </c>
    </row>
    <row r="28">
      <c r="A28" s="14" t="n"/>
      <c r="B28" s="8" t="inlineStr">
        <is>
          <t>Bearing Width (Hole to Hole)</t>
        </is>
      </c>
      <c r="C28" s="5" t="inlineStr">
        <is>
          <t>Near Side Bolts Pretensioned</t>
        </is>
      </c>
      <c r="D28" s="5" t="inlineStr">
        <is>
          <t>Bolts Pretensioned</t>
        </is>
      </c>
      <c r="E28" t="inlineStr">
        <is>
          <t>Tower Base Bearing Width 2</t>
        </is>
      </c>
      <c r="F28" s="5" t="inlineStr">
        <is>
          <t> </t>
        </is>
      </c>
      <c r="G28" s="9" t="inlineStr">
        <is>
          <t>H.A.S. LAYOUT</t>
        </is>
      </c>
      <c r="I28" t="inlineStr">
        <is>
          <t>SSPC-SP6</t>
        </is>
      </c>
      <c r="K28" t="inlineStr">
        <is>
          <t>1 Coat Paint</t>
        </is>
      </c>
      <c r="M28" t="inlineStr">
        <is>
          <t>N/A</t>
        </is>
      </c>
    </row>
    <row r="29">
      <c r="A29" s="14" t="n"/>
      <c r="B29" s="8" t="inlineStr">
        <is>
          <t>Floor/Step Height</t>
        </is>
      </c>
      <c r="C29" s="5" t="inlineStr">
        <is>
          <t>Far Side Bolts Snug Tightened</t>
        </is>
      </c>
      <c r="D29" t="inlineStr">
        <is>
          <t>Studs Qualified</t>
        </is>
      </c>
      <c r="E29" t="inlineStr">
        <is>
          <t>Top /Landing Squareness</t>
        </is>
      </c>
      <c r="F29" s="5" t="inlineStr">
        <is>
          <t> </t>
        </is>
      </c>
      <c r="G29" s="9" t="inlineStr">
        <is>
          <t>STUDS CHECKED</t>
        </is>
      </c>
      <c r="I29" t="inlineStr">
        <is>
          <t>SSPC-SP16</t>
        </is>
      </c>
      <c r="K29" t="inlineStr">
        <is>
          <t>2 Coat Paint</t>
        </is>
      </c>
      <c r="M29" t="inlineStr">
        <is>
          <t>UF2X 20GA</t>
        </is>
      </c>
    </row>
    <row r="30">
      <c r="A30" s="14" t="n"/>
      <c r="B30" s="8" t="inlineStr">
        <is>
          <t>Hand/Rub Rail Height</t>
        </is>
      </c>
      <c r="C30" s="5" t="inlineStr">
        <is>
          <t>Far Side Bolts Pretensioned</t>
        </is>
      </c>
      <c r="D30" s="5" t="inlineStr">
        <is>
          <t>Studs Pinged/Bend 2 Per 100</t>
        </is>
      </c>
      <c r="E30" s="5" t="inlineStr">
        <is>
          <t>Base Squareness</t>
        </is>
      </c>
      <c r="F30" s="5" t="inlineStr">
        <is>
          <t> </t>
        </is>
      </c>
      <c r="G30" s="9" t="inlineStr">
        <is>
          <t> </t>
        </is>
      </c>
      <c r="I30" t="inlineStr">
        <is>
          <t>SSPC-SP10</t>
        </is>
      </c>
      <c r="K30" t="inlineStr">
        <is>
          <t>3 Coat Paint</t>
        </is>
      </c>
      <c r="M30" t="inlineStr">
        <is>
          <t>TREX</t>
        </is>
      </c>
    </row>
    <row r="31">
      <c r="A31" s="14" t="n"/>
      <c r="B31" s="8" t="inlineStr">
        <is>
          <t>End Squareness</t>
        </is>
      </c>
      <c r="C31" s="5" t="inlineStr">
        <is>
          <t> </t>
        </is>
      </c>
      <c r="D31" s="5" t="inlineStr">
        <is>
          <t>Studs Repaired</t>
        </is>
      </c>
      <c r="E31" s="5" t="inlineStr">
        <is>
          <t> </t>
        </is>
      </c>
      <c r="F31" s="5" t="inlineStr">
        <is>
          <t> </t>
        </is>
      </c>
      <c r="G31" s="9" t="inlineStr">
        <is>
          <t> </t>
        </is>
      </c>
      <c r="I31" t="inlineStr">
        <is>
          <t>SSPC-SP5</t>
        </is>
      </c>
      <c r="K31" t="inlineStr">
        <is>
          <t>Duplex System</t>
        </is>
      </c>
    </row>
    <row r="32">
      <c r="A32" s="39" t="n"/>
      <c r="B32" s="5" t="n"/>
      <c r="C32" s="11" t="inlineStr">
        <is>
          <t> </t>
        </is>
      </c>
      <c r="D32" s="11" t="inlineStr">
        <is>
          <t> </t>
        </is>
      </c>
      <c r="E32" s="11" t="inlineStr">
        <is>
          <t> </t>
        </is>
      </c>
      <c r="F32" s="11" t="inlineStr">
        <is>
          <t> </t>
        </is>
      </c>
      <c r="G32" s="12" t="inlineStr">
        <is>
          <t> </t>
        </is>
      </c>
      <c r="I32" t="inlineStr">
        <is>
          <t>AWS D1.5 T-8.4/8.5</t>
        </is>
      </c>
      <c r="K32" t="inlineStr">
        <is>
          <t>N/A</t>
        </is>
      </c>
    </row>
    <row r="33">
      <c r="A33" s="39" t="n"/>
      <c r="E33" s="5" t="inlineStr">
        <is>
          <t> </t>
        </is>
      </c>
      <c r="F33" s="5" t="inlineStr">
        <is>
          <t> </t>
        </is>
      </c>
      <c r="G33" s="5" t="n"/>
      <c r="I33" t="inlineStr">
        <is>
          <t>AWS D1.1 Cl-8.13</t>
        </is>
      </c>
    </row>
    <row r="34">
      <c r="A34" s="39" t="n"/>
      <c r="E34" s="5" t="inlineStr">
        <is>
          <t> </t>
        </is>
      </c>
      <c r="F34" s="5" t="inlineStr">
        <is>
          <t> </t>
        </is>
      </c>
      <c r="G34" s="5" t="n"/>
    </row>
    <row r="35">
      <c r="A35" s="39" t="n"/>
      <c r="B35" s="7" t="inlineStr">
        <is>
          <t>Blasting</t>
        </is>
      </c>
      <c r="C35" s="2" t="inlineStr">
        <is>
          <t>Blasting</t>
        </is>
      </c>
      <c r="D35" s="2" t="inlineStr">
        <is>
          <t>Blasting</t>
        </is>
      </c>
      <c r="E35" s="2" t="inlineStr">
        <is>
          <t>Blasting</t>
        </is>
      </c>
      <c r="F35" s="2" t="inlineStr">
        <is>
          <t>Blasting</t>
        </is>
      </c>
      <c r="G35" s="6" t="inlineStr">
        <is>
          <t>Blasting</t>
        </is>
      </c>
    </row>
    <row r="36" ht="30" customHeight="1">
      <c r="A36" s="39" t="n"/>
      <c r="B36" s="8" t="inlineStr">
        <is>
          <t>Coating</t>
        </is>
      </c>
      <c r="C36" t="inlineStr">
        <is>
          <t>Coating</t>
        </is>
      </c>
      <c r="D36" t="inlineStr">
        <is>
          <t>Coating</t>
        </is>
      </c>
      <c r="E36" t="inlineStr">
        <is>
          <t>Coating</t>
        </is>
      </c>
      <c r="F36" t="inlineStr">
        <is>
          <t>Coating</t>
        </is>
      </c>
      <c r="G36" s="14" t="inlineStr">
        <is>
          <t>Coating</t>
        </is>
      </c>
      <c r="I36" s="47" t="inlineStr">
        <is>
          <t>AWS D1.1 T-8.1 &amp; 
T-10.15</t>
        </is>
      </c>
    </row>
    <row r="37">
      <c r="B37" s="8" t="inlineStr">
        <is>
          <t>Deck</t>
        </is>
      </c>
      <c r="C37" t="inlineStr">
        <is>
          <t>Hand or Rub Rail</t>
        </is>
      </c>
      <c r="D37" t="inlineStr">
        <is>
          <t>Deck</t>
        </is>
      </c>
      <c r="E37" t="inlineStr">
        <is>
          <t>Deck</t>
        </is>
      </c>
      <c r="F37" t="inlineStr">
        <is>
          <t>Hand or Rub Rail</t>
        </is>
      </c>
      <c r="G37" s="14" t="inlineStr">
        <is>
          <t>Deck</t>
        </is>
      </c>
      <c r="I37" t="inlineStr">
        <is>
          <t>AWS D1.5 Cl-8.26.1/8.26.2</t>
        </is>
      </c>
    </row>
    <row r="38">
      <c r="B38" s="8" t="inlineStr">
        <is>
          <t>Hand or Rub Rail</t>
        </is>
      </c>
      <c r="C38" s="5" t="inlineStr">
        <is>
          <t> </t>
        </is>
      </c>
      <c r="D38" t="inlineStr">
        <is>
          <t>Guard Rail</t>
        </is>
      </c>
      <c r="E38" t="inlineStr">
        <is>
          <t>Hand or Rub Rail</t>
        </is>
      </c>
      <c r="F38" s="5" t="inlineStr">
        <is>
          <t> </t>
        </is>
      </c>
      <c r="G38" s="14" t="inlineStr">
        <is>
          <t>Hand or Rub Rail</t>
        </is>
      </c>
    </row>
    <row r="39" ht="30" customHeight="1">
      <c r="B39" s="10" t="inlineStr">
        <is>
          <t>Safety Rail/Fencing</t>
        </is>
      </c>
      <c r="C39" s="11" t="inlineStr">
        <is>
          <t> </t>
        </is>
      </c>
      <c r="D39" s="1" t="inlineStr">
        <is>
          <t>Fencing</t>
        </is>
      </c>
      <c r="E39" s="1" t="inlineStr">
        <is>
          <t>Fencing</t>
        </is>
      </c>
      <c r="F39" s="11" t="inlineStr">
        <is>
          <t> </t>
        </is>
      </c>
      <c r="G39" s="17" t="inlineStr">
        <is>
          <t>Fencing</t>
        </is>
      </c>
      <c r="I39" s="47" t="inlineStr">
        <is>
          <t>AISC 360 Ch N. &amp;
 D1.1 T-8.1/10.15</t>
        </is>
      </c>
    </row>
    <row r="40" ht="45" customHeight="1">
      <c r="B40" s="8" t="inlineStr">
        <is>
          <t>Truss</t>
        </is>
      </c>
      <c r="C40" t="inlineStr">
        <is>
          <t>Bolted</t>
        </is>
      </c>
      <c r="D40" t="inlineStr">
        <is>
          <t>Modular</t>
        </is>
      </c>
      <c r="E40" t="inlineStr">
        <is>
          <t>Tower</t>
        </is>
      </c>
      <c r="F40" s="5" t="inlineStr">
        <is>
          <t>Railing</t>
        </is>
      </c>
      <c r="G40" s="9" t="inlineStr">
        <is>
          <t>Landing</t>
        </is>
      </c>
      <c r="I40" s="47" t="inlineStr">
        <is>
          <t>AISC 360 Ch N. &amp; 
AWS D1.5 Cl-8.26.1</t>
        </is>
      </c>
    </row>
    <row r="41">
      <c r="B41" t="inlineStr">
        <is>
          <t>AWS D1.1 - GMAW</t>
        </is>
      </c>
      <c r="C41" t="inlineStr">
        <is>
          <t>AWS D1.1 - GMAW</t>
        </is>
      </c>
      <c r="D41" t="inlineStr">
        <is>
          <t>AWS D1.5 - FCAW</t>
        </is>
      </c>
      <c r="E41" t="inlineStr">
        <is>
          <t>AWS D1.1 - GMAW</t>
        </is>
      </c>
      <c r="F41" t="inlineStr">
        <is>
          <t>AWS D1.1 - GMAW</t>
        </is>
      </c>
      <c r="G41" t="inlineStr">
        <is>
          <t>AWS D1.1 - GMAW</t>
        </is>
      </c>
    </row>
    <row r="42">
      <c r="B42" t="inlineStr">
        <is>
          <t>AWS D1.1 - FCAW</t>
        </is>
      </c>
      <c r="C42" t="inlineStr">
        <is>
          <t>AWS D1.1 - FCAW</t>
        </is>
      </c>
      <c r="D42" t="inlineStr">
        <is>
          <t>AWS D1.5 - FCAW FC</t>
        </is>
      </c>
      <c r="E42" t="inlineStr">
        <is>
          <t>AWS D1.1 - FCAW</t>
        </is>
      </c>
      <c r="F42" t="inlineStr">
        <is>
          <t>AWS D1.1 - FCAW</t>
        </is>
      </c>
      <c r="G42" t="inlineStr">
        <is>
          <t>AWS D1.1 - FCAW</t>
        </is>
      </c>
    </row>
    <row r="43">
      <c r="B43" t="inlineStr">
        <is>
          <t>AWS D1.2 - GMAW</t>
        </is>
      </c>
      <c r="C43" t="inlineStr">
        <is>
          <t>AWS D1.2 - GMAW</t>
        </is>
      </c>
      <c r="E43" t="inlineStr">
        <is>
          <t>AWS D1.2 - GMAW</t>
        </is>
      </c>
      <c r="F43" t="inlineStr">
        <is>
          <t>AWS D1.2 - GMAW</t>
        </is>
      </c>
      <c r="G43" t="inlineStr">
        <is>
          <t>AWS D1.2 - GMAW</t>
        </is>
      </c>
    </row>
    <row r="44">
      <c r="B44" t="inlineStr">
        <is>
          <t>AWS D1.5 - FCAW</t>
        </is>
      </c>
      <c r="C44" t="inlineStr">
        <is>
          <t>AWS D1.5 - FCAW</t>
        </is>
      </c>
      <c r="E44" t="inlineStr">
        <is>
          <t>AWS D1.5 - FCAW</t>
        </is>
      </c>
      <c r="G44" t="inlineStr">
        <is>
          <t>AWS D1.5 - FCAW</t>
        </is>
      </c>
    </row>
    <row r="45">
      <c r="B45" t="inlineStr">
        <is>
          <t>AWS D1.5 - FCAW FC</t>
        </is>
      </c>
      <c r="C45" t="inlineStr">
        <is>
          <t>AWS D1.5 - FCAW FC</t>
        </is>
      </c>
      <c r="E45" t="inlineStr">
        <is>
          <t>AWS D1.5 - FCAW FC</t>
        </is>
      </c>
      <c r="G45" t="inlineStr">
        <is>
          <t>AWS D1.5 - FCAW FC</t>
        </is>
      </c>
    </row>
  </sheetData>
  <mergeCells count="2">
    <mergeCell ref="A15:A31"/>
    <mergeCell ref="A4:A12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Jim Carey</dc:creator>
  <dcterms:created xsi:type="dcterms:W3CDTF">2015-10-07T11:36:33Z</dcterms:created>
  <dcterms:modified xsi:type="dcterms:W3CDTF">2026-08-17T05:26:35Z</dcterms:modified>
  <cp:lastModifiedBy>Adam Hand</cp:lastModifiedBy>
  <cp:lastPrinted>2026-08-07T16:17:15Z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0x010100F429390FF61E644497C3CAF9F1D0E2A2</vt:lpwstr>
  </property>
</Properties>
</file>